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4"/>
    <sheet state="visible" name="Progress" sheetId="2" r:id="rId5"/>
  </sheets>
  <definedNames>
    <definedName hidden="1" localSheetId="0" name="_xlnm._FilterDatabase">Roadmap!$A$1:$H$165</definedName>
  </definedNames>
  <calcPr/>
  <extLst>
    <ext uri="GoogleSheetsCustomDataVersion2">
      <go:sheetsCustomData xmlns:go="http://customooxmlschemas.google.com/" r:id="rId6" roundtripDataChecksum="Mv/nrsCmPqnqmwwX4Br3urOuTeOGGEzB3jvVaZW0iZg="/>
    </ext>
  </extLst>
</workbook>
</file>

<file path=xl/sharedStrings.xml><?xml version="1.0" encoding="utf-8"?>
<sst xmlns="http://schemas.openxmlformats.org/spreadsheetml/2006/main" count="833" uniqueCount="353">
  <si>
    <t>Progress Tracker</t>
  </si>
  <si>
    <t>Done</t>
  </si>
  <si>
    <t>Problems solved</t>
  </si>
  <si>
    <t>Day</t>
  </si>
  <si>
    <t>Pattern</t>
  </si>
  <si>
    <t>#</t>
  </si>
  <si>
    <t>Problem</t>
  </si>
  <si>
    <t>Difficulty</t>
  </si>
  <si>
    <t>URL</t>
  </si>
  <si>
    <t>Notes</t>
  </si>
  <si>
    <r>
      <rPr>
        <rFont val="Arial"/>
        <b/>
        <sz val="10.0"/>
      </rPr>
      <t xml:space="preserve">Hey, I'm Shubham, 7+ years in tech, 100+ interviews on both sides of the table.
Career path: Infosys → Pubmatic → Amazon → Coursera (currently WFH)
I've cracked multiple high-paying offers across India and internationally using the exact playbook below.
</t>
    </r>
    <r>
      <rPr>
        <rFont val="Arial"/>
        <b/>
        <sz val="13.0"/>
      </rPr>
      <t xml:space="preserve">Connect here - </t>
    </r>
    <r>
      <rPr>
        <rFont val="Arial"/>
        <b/>
        <color rgb="FF1155CC"/>
        <sz val="13.0"/>
        <u/>
      </rPr>
      <t>Linkedin</t>
    </r>
    <r>
      <rPr>
        <rFont val="Arial"/>
        <b/>
        <sz val="13.0"/>
      </rPr>
      <t xml:space="preserve"> , </t>
    </r>
    <r>
      <rPr>
        <rFont val="Arial"/>
        <b/>
        <color rgb="FF1155CC"/>
        <sz val="13.0"/>
        <u/>
      </rPr>
      <t>Instagram</t>
    </r>
    <r>
      <rPr>
        <rFont val="Arial"/>
        <b/>
        <sz val="13.0"/>
      </rPr>
      <t xml:space="preserve">, 
Connect on - </t>
    </r>
    <r>
      <rPr>
        <rFont val="Arial"/>
        <b/>
        <color rgb="FF1155CC"/>
        <sz val="13.0"/>
        <u/>
      </rPr>
      <t>Whatsapp</t>
    </r>
    <r>
      <rPr>
        <rFont val="Arial"/>
        <sz val="13.0"/>
      </rPr>
      <t xml:space="preserve">
</t>
    </r>
  </si>
  <si>
    <t>Total problems</t>
  </si>
  <si>
    <t>Completion</t>
  </si>
  <si>
    <t>☐</t>
  </si>
  <si>
    <t>Days completed (all rows in day ticked)</t>
  </si>
  <si>
    <t>Arrays</t>
  </si>
  <si>
    <t>Contains Duplicate</t>
  </si>
  <si>
    <t>Easy</t>
  </si>
  <si>
    <t>https://leetcode.com/problems/contains-duplicate/</t>
  </si>
  <si>
    <t>Product of Array Except Self</t>
  </si>
  <si>
    <t>Medium</t>
  </si>
  <si>
    <t>https://leetcode.com/problems/product-of-array-except-self/</t>
  </si>
  <si>
    <t>Solved</t>
  </si>
  <si>
    <t>Total</t>
  </si>
  <si>
    <t>Valid Sudoku</t>
  </si>
  <si>
    <t>https://leetcode.com/problems/valid-sudoku/</t>
  </si>
  <si>
    <t>Hashing</t>
  </si>
  <si>
    <t>Valid Anagram</t>
  </si>
  <si>
    <t>https://leetcode.com/problems/valid-anagram/</t>
  </si>
  <si>
    <t>Two Sum</t>
  </si>
  <si>
    <t>https://leetcode.com/problems/two-sum/</t>
  </si>
  <si>
    <t>Group Anagrams</t>
  </si>
  <si>
    <t>https://leetcode.com/problems/group-anagrams/</t>
  </si>
  <si>
    <t>Two Pointers</t>
  </si>
  <si>
    <t>Top K Frequent Elements</t>
  </si>
  <si>
    <t>https://leetcode.com/problems/top-k-frequent-elements/</t>
  </si>
  <si>
    <t>Sliding Window</t>
  </si>
  <si>
    <t>Longest Consecutive Sequence</t>
  </si>
  <si>
    <t>https://leetcode.com/problems/longest-consecutive-sequence/</t>
  </si>
  <si>
    <t>Subarray Sum Equals K</t>
  </si>
  <si>
    <t>https://leetcode.com/problems/subarray-sum-equals-k/</t>
  </si>
  <si>
    <t>Stack</t>
  </si>
  <si>
    <t>Valid Palindrome</t>
  </si>
  <si>
    <t>https://leetcode.com/problems/valid-palindrome/</t>
  </si>
  <si>
    <t>Binary Search</t>
  </si>
  <si>
    <t>Two Sum II - Input Array Is Sorted</t>
  </si>
  <si>
    <t>https://leetcode.com/problems/two-sum-ii-input-array-is-sorted/</t>
  </si>
  <si>
    <t>Linked List</t>
  </si>
  <si>
    <t>Sort Colors</t>
  </si>
  <si>
    <t>https://leetcode.com/problems/sort-colors/</t>
  </si>
  <si>
    <t>Trees</t>
  </si>
  <si>
    <t>3Sum</t>
  </si>
  <si>
    <t>https://leetcode.com/problems/3sum/</t>
  </si>
  <si>
    <t>Heap / Priority Queue</t>
  </si>
  <si>
    <t>Review</t>
  </si>
  <si>
    <t>Review Day: redo Days 1-6</t>
  </si>
  <si>
    <t>Container With Most Water</t>
  </si>
  <si>
    <t>https://leetcode.com/problems/container-with-most-water/</t>
  </si>
  <si>
    <t>Backtracking</t>
  </si>
  <si>
    <t>Trapping Rain Water</t>
  </si>
  <si>
    <t>Hard</t>
  </si>
  <si>
    <t>https://leetcode.com/problems/trapping-rain-water/</t>
  </si>
  <si>
    <t>Tries</t>
  </si>
  <si>
    <t>Best Time to Buy and Sell Stock</t>
  </si>
  <si>
    <t>https://leetcode.com/problems/best-time-to-buy-and-sell-stock/</t>
  </si>
  <si>
    <t>Graphs</t>
  </si>
  <si>
    <t>DP - 1D</t>
  </si>
  <si>
    <t>Longest Substring Without Repeating Characters</t>
  </si>
  <si>
    <t>https://leetcode.com/problems/longest-substring-without-repeating-characters/</t>
  </si>
  <si>
    <t>DP - 2D</t>
  </si>
  <si>
    <t>Longest Repeating Character Replacement</t>
  </si>
  <si>
    <t>https://leetcode.com/problems/longest-repeating-character-replacement/</t>
  </si>
  <si>
    <t>Greedy</t>
  </si>
  <si>
    <t>Permutation in String</t>
  </si>
  <si>
    <t>https://leetcode.com/problems/permutation-in-string/</t>
  </si>
  <si>
    <t>Intervals</t>
  </si>
  <si>
    <t>Find All Anagrams in a String</t>
  </si>
  <si>
    <t>https://leetcode.com/problems/find-all-anagrams-in-a-string/</t>
  </si>
  <si>
    <t>Math &amp; Geometry</t>
  </si>
  <si>
    <t>Minimum Window Substring</t>
  </si>
  <si>
    <t>https://leetcode.com/problems/minimum-window-substring/</t>
  </si>
  <si>
    <t>Bit Manipulation</t>
  </si>
  <si>
    <t>Sliding Window Maximum</t>
  </si>
  <si>
    <t>https://leetcode.com/problems/sliding-window-maximum/</t>
  </si>
  <si>
    <t>Valid Parentheses</t>
  </si>
  <si>
    <t>https://leetcode.com/problems/valid-parentheses/</t>
  </si>
  <si>
    <t>Implement Queue using Stacks</t>
  </si>
  <si>
    <t>https://leetcode.com/problems/implement-queue-using-stacks/</t>
  </si>
  <si>
    <t>Min Stack</t>
  </si>
  <si>
    <t>https://leetcode.com/problems/min-stack/</t>
  </si>
  <si>
    <t>Review Day: redo Days 8-13</t>
  </si>
  <si>
    <t>Evaluate Reverse Polish Notation</t>
  </si>
  <si>
    <t>https://leetcode.com/problems/evaluate-reverse-polish-notation/</t>
  </si>
  <si>
    <t>How to use: on the Roadmap sheet, click a cell in the Done column and pick ☑ from the dropdown. Rows turn green and this sheet updates automatically.</t>
  </si>
  <si>
    <t>Daily Temperatures</t>
  </si>
  <si>
    <t>https://leetcode.com/problems/daily-temperatures/</t>
  </si>
  <si>
    <t>Generate Parentheses</t>
  </si>
  <si>
    <t>https://leetcode.com/problems/generate-parentheses/</t>
  </si>
  <si>
    <t>Car Fleet</t>
  </si>
  <si>
    <t>https://leetcode.com/problems/car-fleet/</t>
  </si>
  <si>
    <t>Largest Rectangle in Histogram</t>
  </si>
  <si>
    <t>https://leetcode.com/problems/largest-rectangle-in-histogram/</t>
  </si>
  <si>
    <t>https://leetcode.com/problems/binary-search/</t>
  </si>
  <si>
    <t>Find First and Last Position in Sorted Array</t>
  </si>
  <si>
    <t>https://leetcode.com/problems/find-first-and-last-position-of-element-in-sorted-array/</t>
  </si>
  <si>
    <t>Search a 2D Matrix</t>
  </si>
  <si>
    <t>https://leetcode.com/problems/search-a-2d-matrix/</t>
  </si>
  <si>
    <t>Koko Eating Bananas</t>
  </si>
  <si>
    <t>https://leetcode.com/problems/koko-eating-bananas/</t>
  </si>
  <si>
    <t>Find Minimum in Rotated Sorted Array</t>
  </si>
  <si>
    <t>https://leetcode.com/problems/find-minimum-in-rotated-sorted-array/</t>
  </si>
  <si>
    <t>Search in Rotated Sorted Array</t>
  </si>
  <si>
    <t>https://leetcode.com/problems/search-in-rotated-sorted-array/</t>
  </si>
  <si>
    <t>Review Day: redo Days 15-20</t>
  </si>
  <si>
    <t>Time Based Key-Value Store</t>
  </si>
  <si>
    <t>https://leetcode.com/problems/time-based-key-value-store/</t>
  </si>
  <si>
    <t>Median of Two Sorted Arrays</t>
  </si>
  <si>
    <t>https://leetcode.com/problems/median-of-two-sorted-arrays/</t>
  </si>
  <si>
    <t>Reverse Linked List</t>
  </si>
  <si>
    <t>https://leetcode.com/problems/reverse-linked-list/</t>
  </si>
  <si>
    <t>Merge Two Sorted Lists</t>
  </si>
  <si>
    <t>https://leetcode.com/problems/merge-two-sorted-lists/</t>
  </si>
  <si>
    <t>Linked List Cycle</t>
  </si>
  <si>
    <t>https://leetcode.com/problems/linked-list-cycle/</t>
  </si>
  <si>
    <t>Palindrome Linked List</t>
  </si>
  <si>
    <t>https://leetcode.com/problems/palindrome-linked-list/</t>
  </si>
  <si>
    <t>Reorder List</t>
  </si>
  <si>
    <t>https://leetcode.com/problems/reorder-list/</t>
  </si>
  <si>
    <t>Remove Nth Node From End of List</t>
  </si>
  <si>
    <t>https://leetcode.com/problems/remove-nth-node-from-end-of-list/</t>
  </si>
  <si>
    <t>Find the Duplicate Number</t>
  </si>
  <si>
    <t>https://leetcode.com/problems/find-the-duplicate-number/</t>
  </si>
  <si>
    <t>Add Two Numbers</t>
  </si>
  <si>
    <t>https://leetcode.com/problems/add-two-numbers/</t>
  </si>
  <si>
    <t>Copy List with Random Pointer</t>
  </si>
  <si>
    <t>https://leetcode.com/problems/copy-list-with-random-pointer/</t>
  </si>
  <si>
    <t>LRU Cache</t>
  </si>
  <si>
    <t>https://leetcode.com/problems/lru-cache/</t>
  </si>
  <si>
    <t>Merge K Sorted Lists</t>
  </si>
  <si>
    <t>https://leetcode.com/problems/merge-k-sorted-lists/</t>
  </si>
  <si>
    <t>Review Day: redo Days 22-27</t>
  </si>
  <si>
    <t>Reverse Nodes in K-Group</t>
  </si>
  <si>
    <t>https://leetcode.com/problems/reverse-nodes-in-k-group/</t>
  </si>
  <si>
    <t>Invert Binary Tree</t>
  </si>
  <si>
    <t>https://leetcode.com/problems/invert-binary-tree/</t>
  </si>
  <si>
    <t>Maximum Depth of Binary Tree</t>
  </si>
  <si>
    <t>https://leetcode.com/problems/maximum-depth-of-binary-tree/</t>
  </si>
  <si>
    <t>Same Tree</t>
  </si>
  <si>
    <t>https://leetcode.com/problems/same-tree/</t>
  </si>
  <si>
    <t>Diameter of Binary Tree</t>
  </si>
  <si>
    <t>https://leetcode.com/problems/diameter-of-binary-tree/</t>
  </si>
  <si>
    <t>Balanced Binary Tree</t>
  </si>
  <si>
    <t>https://leetcode.com/problems/balanced-binary-tree/</t>
  </si>
  <si>
    <t>Subtree of Another Tree</t>
  </si>
  <si>
    <t>https://leetcode.com/problems/subtree-of-another-tree/</t>
  </si>
  <si>
    <t>Lowest Common Ancestor of a BST</t>
  </si>
  <si>
    <t>https://leetcode.com/problems/lowest-common-ancestor-of-a-binary-search-tree/</t>
  </si>
  <si>
    <t>Binary Tree Level Order Traversal</t>
  </si>
  <si>
    <t>https://leetcode.com/problems/binary-tree-level-order-traversal/</t>
  </si>
  <si>
    <t>Binary Tree Right Side View</t>
  </si>
  <si>
    <t>https://leetcode.com/problems/binary-tree-right-side-view/</t>
  </si>
  <si>
    <t>Count Good Nodes in Binary Tree</t>
  </si>
  <si>
    <t>https://leetcode.com/problems/count-good-nodes-in-binary-tree/</t>
  </si>
  <si>
    <t>Validate Binary Search Tree</t>
  </si>
  <si>
    <t>https://leetcode.com/problems/validate-binary-search-tree/</t>
  </si>
  <si>
    <t>Kth Smallest Element in a BST</t>
  </si>
  <si>
    <t>https://leetcode.com/problems/kth-smallest-element-in-a-bst/</t>
  </si>
  <si>
    <t>Review Day: redo Days 29-34</t>
  </si>
  <si>
    <t>Construct Binary Tree from Preorder and Inorder</t>
  </si>
  <si>
    <t>https://leetcode.com/problems/construct-binary-tree-from-preorder-and-inorder-traversal/</t>
  </si>
  <si>
    <t>Binary Tree Maximum Path Sum</t>
  </si>
  <si>
    <t>https://leetcode.com/problems/binary-tree-maximum-path-sum/</t>
  </si>
  <si>
    <t>Serialize and Deserialize Binary Tree</t>
  </si>
  <si>
    <t>https://leetcode.com/problems/serialize-and-deserialize-binary-tree/</t>
  </si>
  <si>
    <t>Kth Largest Element in a Stream</t>
  </si>
  <si>
    <t>https://leetcode.com/problems/kth-largest-element-in-a-stream/</t>
  </si>
  <si>
    <t>Last Stone Weight</t>
  </si>
  <si>
    <t>https://leetcode.com/problems/last-stone-weight/</t>
  </si>
  <si>
    <t>K Closest Points to Origin</t>
  </si>
  <si>
    <t>https://leetcode.com/problems/k-closest-points-to-origin/</t>
  </si>
  <si>
    <t>Kth Largest Element in an Array</t>
  </si>
  <si>
    <t>https://leetcode.com/problems/kth-largest-element-in-an-array/</t>
  </si>
  <si>
    <t>Task Scheduler</t>
  </si>
  <si>
    <t>https://leetcode.com/problems/task-scheduler/</t>
  </si>
  <si>
    <t>Design Twitter</t>
  </si>
  <si>
    <t>https://leetcode.com/problems/design-twitter/</t>
  </si>
  <si>
    <t>Find Median from Data Stream</t>
  </si>
  <si>
    <t>https://leetcode.com/problems/find-median-from-data-stream/</t>
  </si>
  <si>
    <t>Review Day: redo Days 36-41</t>
  </si>
  <si>
    <t>Subsets</t>
  </si>
  <si>
    <t>https://leetcode.com/problems/subsets/</t>
  </si>
  <si>
    <t>Subsets II</t>
  </si>
  <si>
    <t>https://leetcode.com/problems/subsets-ii/</t>
  </si>
  <si>
    <t>Combination Sum</t>
  </si>
  <si>
    <t>https://leetcode.com/problems/combination-sum/</t>
  </si>
  <si>
    <t>Combination Sum II</t>
  </si>
  <si>
    <t>https://leetcode.com/problems/combination-sum-ii/</t>
  </si>
  <si>
    <t>Permutations</t>
  </si>
  <si>
    <t>https://leetcode.com/problems/permutations/</t>
  </si>
  <si>
    <t>Word Search</t>
  </si>
  <si>
    <t>https://leetcode.com/problems/word-search/</t>
  </si>
  <si>
    <t>Palindrome Partitioning</t>
  </si>
  <si>
    <t>https://leetcode.com/problems/palindrome-partitioning/</t>
  </si>
  <si>
    <t>Letter Combinations of a Phone Number</t>
  </si>
  <si>
    <t>https://leetcode.com/problems/letter-combinations-of-a-phone-number/</t>
  </si>
  <si>
    <t>N-Queens</t>
  </si>
  <si>
    <t>https://leetcode.com/problems/n-queens/</t>
  </si>
  <si>
    <t>Implement Trie (Prefix Tree)</t>
  </si>
  <si>
    <t>https://leetcode.com/problems/implement-trie-prefix-tree/</t>
  </si>
  <si>
    <t>Design Add and Search Words Data Structure</t>
  </si>
  <si>
    <t>https://leetcode.com/problems/design-add-and-search-words-data-structure/</t>
  </si>
  <si>
    <t>Review Day: redo Days 43-48</t>
  </si>
  <si>
    <t>Word Search II</t>
  </si>
  <si>
    <t>https://leetcode.com/problems/word-search-ii/</t>
  </si>
  <si>
    <t>Number of Islands</t>
  </si>
  <si>
    <t>https://leetcode.com/problems/number-of-islands/</t>
  </si>
  <si>
    <t>Max Area of Island</t>
  </si>
  <si>
    <t>https://leetcode.com/problems/max-area-of-island/</t>
  </si>
  <si>
    <t>Clone Graph</t>
  </si>
  <si>
    <t>https://leetcode.com/problems/clone-graph/</t>
  </si>
  <si>
    <t>Number of Provinces</t>
  </si>
  <si>
    <t>https://leetcode.com/problems/number-of-provinces/</t>
  </si>
  <si>
    <t>Rotting Oranges</t>
  </si>
  <si>
    <t>https://leetcode.com/problems/rotting-oranges/</t>
  </si>
  <si>
    <t>Pacific Atlantic Water Flow</t>
  </si>
  <si>
    <t>https://leetcode.com/problems/pacific-atlantic-water-flow/</t>
  </si>
  <si>
    <t>Surrounded Regions</t>
  </si>
  <si>
    <t>https://leetcode.com/problems/surrounded-regions/</t>
  </si>
  <si>
    <t>Course Schedule</t>
  </si>
  <si>
    <t>https://leetcode.com/problems/course-schedule/</t>
  </si>
  <si>
    <t>Course Schedule II</t>
  </si>
  <si>
    <t>https://leetcode.com/problems/course-schedule-ii/</t>
  </si>
  <si>
    <t>Redundant Connection</t>
  </si>
  <si>
    <t>https://leetcode.com/problems/redundant-connection/</t>
  </si>
  <si>
    <t>Word Ladder</t>
  </si>
  <si>
    <t>https://leetcode.com/problems/word-ladder/</t>
  </si>
  <si>
    <t>Review Day: redo Days 50-55</t>
  </si>
  <si>
    <t>Network Delay Time</t>
  </si>
  <si>
    <t>https://leetcode.com/problems/network-delay-time/</t>
  </si>
  <si>
    <t>Min Cost to Connect All Points</t>
  </si>
  <si>
    <t>https://leetcode.com/problems/min-cost-to-connect-all-points/</t>
  </si>
  <si>
    <t>Cheapest Flights Within K Stops</t>
  </si>
  <si>
    <t>https://leetcode.com/problems/cheapest-flights-within-k-stops/</t>
  </si>
  <si>
    <t>Swim in Rising Water</t>
  </si>
  <si>
    <t>https://leetcode.com/problems/swim-in-rising-water/</t>
  </si>
  <si>
    <t>Reconstruct Itinerary</t>
  </si>
  <si>
    <t>https://leetcode.com/problems/reconstruct-itinerary/</t>
  </si>
  <si>
    <t>Climbing Stairs</t>
  </si>
  <si>
    <t>https://leetcode.com/problems/climbing-stairs/</t>
  </si>
  <si>
    <t>Min Cost Climbing Stairs</t>
  </si>
  <si>
    <t>https://leetcode.com/problems/min-cost-climbing-stairs/</t>
  </si>
  <si>
    <t>House Robber</t>
  </si>
  <si>
    <t>https://leetcode.com/problems/house-robber/</t>
  </si>
  <si>
    <t>House Robber II</t>
  </si>
  <si>
    <t>https://leetcode.com/problems/house-robber-ii/</t>
  </si>
  <si>
    <t>Longest Palindromic Substring</t>
  </si>
  <si>
    <t>https://leetcode.com/problems/longest-palindromic-substring/</t>
  </si>
  <si>
    <t>Palindromic Substrings</t>
  </si>
  <si>
    <t>https://leetcode.com/problems/palindromic-substrings/</t>
  </si>
  <si>
    <t>Review Day: redo Days 57-62</t>
  </si>
  <si>
    <t>Decode Ways</t>
  </si>
  <si>
    <t>https://leetcode.com/problems/decode-ways/</t>
  </si>
  <si>
    <t>Coin Change</t>
  </si>
  <si>
    <t>https://leetcode.com/problems/coin-change/</t>
  </si>
  <si>
    <t>Maximum Product Subarray</t>
  </si>
  <si>
    <t>https://leetcode.com/problems/maximum-product-subarray/</t>
  </si>
  <si>
    <t>Word Break</t>
  </si>
  <si>
    <t>https://leetcode.com/problems/word-break/</t>
  </si>
  <si>
    <t>Longest Increasing Subsequence</t>
  </si>
  <si>
    <t>https://leetcode.com/problems/longest-increasing-subsequence/</t>
  </si>
  <si>
    <t>Partition Equal Subset Sum</t>
  </si>
  <si>
    <t>https://leetcode.com/problems/partition-equal-subset-sum/</t>
  </si>
  <si>
    <t>Unique Paths</t>
  </si>
  <si>
    <t>https://leetcode.com/problems/unique-paths/</t>
  </si>
  <si>
    <t>Longest Common Subsequence</t>
  </si>
  <si>
    <t>https://leetcode.com/problems/longest-common-subsequence/</t>
  </si>
  <si>
    <t>Coin Change II</t>
  </si>
  <si>
    <t>https://leetcode.com/problems/coin-change-ii/</t>
  </si>
  <si>
    <t>Target Sum</t>
  </si>
  <si>
    <t>https://leetcode.com/problems/target-sum/</t>
  </si>
  <si>
    <t>Best Time to Buy and Sell Stock with Cooldown</t>
  </si>
  <si>
    <t>https://leetcode.com/problems/best-time-to-buy-and-sell-stock-with-cooldown/</t>
  </si>
  <si>
    <t>Edit Distance</t>
  </si>
  <si>
    <t>https://leetcode.com/problems/edit-distance/</t>
  </si>
  <si>
    <t>Review Day: redo Days 64-69</t>
  </si>
  <si>
    <t>Interleaving String</t>
  </si>
  <si>
    <t>https://leetcode.com/problems/interleaving-string/</t>
  </si>
  <si>
    <t>Longest Increasing Path in a Matrix</t>
  </si>
  <si>
    <t>https://leetcode.com/problems/longest-increasing-path-in-a-matrix/</t>
  </si>
  <si>
    <t>Distinct Subsequences</t>
  </si>
  <si>
    <t>https://leetcode.com/problems/distinct-subsequences/</t>
  </si>
  <si>
    <t>Burst Balloons</t>
  </si>
  <si>
    <t>https://leetcode.com/problems/burst-balloons/</t>
  </si>
  <si>
    <t>Regular Expression Matching</t>
  </si>
  <si>
    <t>https://leetcode.com/problems/regular-expression-matching/</t>
  </si>
  <si>
    <t>Maximum Subarray</t>
  </si>
  <si>
    <t>https://leetcode.com/problems/maximum-subarray/</t>
  </si>
  <si>
    <t>Jump Game</t>
  </si>
  <si>
    <t>https://leetcode.com/problems/jump-game/</t>
  </si>
  <si>
    <t>Jump Game II</t>
  </si>
  <si>
    <t>https://leetcode.com/problems/jump-game-ii/</t>
  </si>
  <si>
    <t>Gas Station</t>
  </si>
  <si>
    <t>https://leetcode.com/problems/gas-station/</t>
  </si>
  <si>
    <t>Hand of Straights</t>
  </si>
  <si>
    <t>https://leetcode.com/problems/hand-of-straights/</t>
  </si>
  <si>
    <t>Merge Triplets to Form Target Triplet</t>
  </si>
  <si>
    <t>https://leetcode.com/problems/merge-triplets-to-form-target-triplet/</t>
  </si>
  <si>
    <t>Review Day: redo Days 71-76</t>
  </si>
  <si>
    <t>Partition Labels</t>
  </si>
  <si>
    <t>https://leetcode.com/problems/partition-labels/</t>
  </si>
  <si>
    <t>Valid Parenthesis String</t>
  </si>
  <si>
    <t>https://leetcode.com/problems/valid-parenthesis-string/</t>
  </si>
  <si>
    <t>Insert Interval</t>
  </si>
  <si>
    <t>https://leetcode.com/problems/insert-interval/</t>
  </si>
  <si>
    <t>Merge Intervals</t>
  </si>
  <si>
    <t>https://leetcode.com/problems/merge-intervals/</t>
  </si>
  <si>
    <t>Non-overlapping Intervals</t>
  </si>
  <si>
    <t>https://leetcode.com/problems/non-overlapping-intervals/</t>
  </si>
  <si>
    <t>Minimum Interval to Include Each Query</t>
  </si>
  <si>
    <t>https://leetcode.com/problems/minimum-interval-to-include-each-query/</t>
  </si>
  <si>
    <t>Rotate Image</t>
  </si>
  <si>
    <t>https://leetcode.com/problems/rotate-image/</t>
  </si>
  <si>
    <t>Spiral Matrix</t>
  </si>
  <si>
    <t>https://leetcode.com/problems/spiral-matrix/</t>
  </si>
  <si>
    <t>Set Matrix Zeroes</t>
  </si>
  <si>
    <t>https://leetcode.com/problems/set-matrix-zeroes/</t>
  </si>
  <si>
    <t>Happy Number</t>
  </si>
  <si>
    <t>https://leetcode.com/problems/happy-number/</t>
  </si>
  <si>
    <t>Plus One</t>
  </si>
  <si>
    <t>https://leetcode.com/problems/plus-one/</t>
  </si>
  <si>
    <t>Pow(x, n)</t>
  </si>
  <si>
    <t>https://leetcode.com/problems/powx-n/</t>
  </si>
  <si>
    <t>Review Day: redo Days 78-83</t>
  </si>
  <si>
    <t>Multiply Strings</t>
  </si>
  <si>
    <t>https://leetcode.com/problems/multiply-strings/</t>
  </si>
  <si>
    <t>Detect Squares</t>
  </si>
  <si>
    <t>https://leetcode.com/problems/detect-squares/</t>
  </si>
  <si>
    <t>Single Number</t>
  </si>
  <si>
    <t>https://leetcode.com/problems/single-number/</t>
  </si>
  <si>
    <t>Number of 1 Bits</t>
  </si>
  <si>
    <t>https://leetcode.com/problems/number-of-1-bits/</t>
  </si>
  <si>
    <t>Counting Bits</t>
  </si>
  <si>
    <t>https://leetcode.com/problems/counting-bits/</t>
  </si>
  <si>
    <t>Reverse Bits</t>
  </si>
  <si>
    <t>https://leetcode.com/problems/reverse-bits/</t>
  </si>
  <si>
    <t>Missing Number</t>
  </si>
  <si>
    <t>https://leetcode.com/problems/missing-number/</t>
  </si>
  <si>
    <t>Sum of Two Integers</t>
  </si>
  <si>
    <t>https://leetcode.com/problems/sum-of-two-integers/</t>
  </si>
  <si>
    <t>Reverse Integer (then redo your 5 weakest problems)</t>
  </si>
  <si>
    <t>https://leetcode.com/problems/reverse-integer/</t>
  </si>
  <si>
    <t>Mock</t>
  </si>
  <si>
    <t>Final Mock: 2 random Mediums + 1 Hard, 45 min 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</si>
</sst>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4.0"/>
      <color theme="1"/>
      <name val="Quattrocento Sans"/>
    </font>
    <font>
      <sz val="11.0"/>
      <color theme="1"/>
      <name val="Arial"/>
    </font>
    <font>
      <u/>
      <sz val="10.0"/>
      <color rgb="FF0000FF"/>
      <name val="Arial"/>
    </font>
    <font>
      <sz val="10.0"/>
      <color theme="1"/>
      <name val="Arial"/>
    </font>
    <font>
      <sz val="10.0"/>
      <color rgb="FF0563C1"/>
      <name val="Arial"/>
    </font>
    <font>
      <u/>
      <sz val="10.0"/>
      <color rgb="FF0563C1"/>
      <name val="Arial"/>
    </font>
    <font>
      <b/>
      <sz val="10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4">
    <border/>
    <border>
      <left/>
      <right/>
      <top/>
      <bottom/>
    </border>
    <border>
      <bottom style="thin">
        <color rgb="FFD9D9D9"/>
      </bottom>
    </border>
    <border>
      <left/>
      <right/>
      <top/>
      <bottom style="thin">
        <color rgb="FFD9D9D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bottom" wrapText="0"/>
    </xf>
    <xf borderId="2" fillId="0" fontId="7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shrinkToFit="0" vertical="center" wrapText="0"/>
    </xf>
    <xf borderId="2" fillId="0" fontId="9" numFmtId="0" xfId="0" applyAlignment="1" applyBorder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0" fontId="5" numFmtId="9" xfId="0" applyAlignment="1" applyBorder="1" applyFont="1" applyNumberFormat="1">
      <alignment horizontal="center" shrinkToFit="0" vertical="bottom" wrapText="0"/>
    </xf>
    <xf borderId="3" fillId="3" fontId="4" numFmtId="0" xfId="0" applyAlignment="1" applyBorder="1" applyFill="1" applyFont="1">
      <alignment horizontal="center" shrinkToFit="0" vertical="center" wrapText="0"/>
    </xf>
    <xf borderId="3" fillId="3" fontId="7" numFmtId="0" xfId="0" applyAlignment="1" applyBorder="1" applyFill="1" applyFont="1">
      <alignment horizontal="center" shrinkToFit="0" vertical="center" wrapText="0"/>
    </xf>
    <xf borderId="3" fillId="3" fontId="7" numFmtId="0" xfId="0" applyAlignment="1" applyBorder="1" applyFill="1" applyFont="1">
      <alignment shrinkToFit="0" vertical="center" wrapText="0"/>
    </xf>
    <xf borderId="3" fillId="3" fontId="10" numFmtId="0" xfId="0" applyAlignment="1" applyBorder="1" applyFill="1" applyFont="1">
      <alignment shrinkToFit="0" vertical="center" wrapText="0"/>
    </xf>
    <xf borderId="0" fillId="0" fontId="11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>
        <b/>
        <color rgb="FF548235"/>
        <name val="Arial"/>
      </font>
      <fill>
        <patternFill patternType="none"/>
      </fill>
      <border/>
    </dxf>
    <dxf>
      <font>
        <b/>
        <color rgb="FFBF8F00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  <dxf>
      <font>
        <strike/>
        <color rgb="FF7F7F7F"/>
        <name val="Arial"/>
      </font>
      <fill>
        <patternFill patternType="solid">
          <fgColor rgb="FFE2EFDA"/>
          <bgColor rgb="FFE2EF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verse-linked-list/" TargetMode="External"/><Relationship Id="rId42" Type="http://schemas.openxmlformats.org/officeDocument/2006/relationships/hyperlink" Target="https://leetcode.com/problems/linked-list-cycle/" TargetMode="External"/><Relationship Id="rId41" Type="http://schemas.openxmlformats.org/officeDocument/2006/relationships/hyperlink" Target="https://leetcode.com/problems/merge-two-sorted-lists/" TargetMode="External"/><Relationship Id="rId44" Type="http://schemas.openxmlformats.org/officeDocument/2006/relationships/hyperlink" Target="https://leetcode.com/problems/reorder-list/" TargetMode="External"/><Relationship Id="rId43" Type="http://schemas.openxmlformats.org/officeDocument/2006/relationships/hyperlink" Target="https://leetcode.com/problems/palindrome-linked-list/" TargetMode="External"/><Relationship Id="rId46" Type="http://schemas.openxmlformats.org/officeDocument/2006/relationships/hyperlink" Target="https://leetcode.com/problems/find-the-duplicate-number/" TargetMode="External"/><Relationship Id="rId45" Type="http://schemas.openxmlformats.org/officeDocument/2006/relationships/hyperlink" Target="https://leetcode.com/problems/remove-nth-node-from-end-of-list/" TargetMode="External"/><Relationship Id="rId107" Type="http://schemas.openxmlformats.org/officeDocument/2006/relationships/hyperlink" Target="https://leetcode.com/problems/palindromic-substrings/" TargetMode="External"/><Relationship Id="rId106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house-robber-ii/" TargetMode="External"/><Relationship Id="rId104" Type="http://schemas.openxmlformats.org/officeDocument/2006/relationships/hyperlink" Target="https://leetcode.com/problems/house-robber/" TargetMode="External"/><Relationship Id="rId109" Type="http://schemas.openxmlformats.org/officeDocument/2006/relationships/hyperlink" Target="https://leetcode.com/problems/coin-change/" TargetMode="External"/><Relationship Id="rId108" Type="http://schemas.openxmlformats.org/officeDocument/2006/relationships/hyperlink" Target="https://leetcode.com/problems/decode-ways/" TargetMode="External"/><Relationship Id="rId48" Type="http://schemas.openxmlformats.org/officeDocument/2006/relationships/hyperlink" Target="https://leetcode.com/problems/copy-list-with-random-pointer/" TargetMode="External"/><Relationship Id="rId47" Type="http://schemas.openxmlformats.org/officeDocument/2006/relationships/hyperlink" Target="https://leetcode.com/problems/add-two-numbers/" TargetMode="External"/><Relationship Id="rId49" Type="http://schemas.openxmlformats.org/officeDocument/2006/relationships/hyperlink" Target="https://leetcode.com/problems/lru-cache/" TargetMode="External"/><Relationship Id="rId103" Type="http://schemas.openxmlformats.org/officeDocument/2006/relationships/hyperlink" Target="https://leetcode.com/problems/min-cost-climbing-stairs/" TargetMode="External"/><Relationship Id="rId102" Type="http://schemas.openxmlformats.org/officeDocument/2006/relationships/hyperlink" Target="https://leetcode.com/problems/climbing-stairs/" TargetMode="External"/><Relationship Id="rId101" Type="http://schemas.openxmlformats.org/officeDocument/2006/relationships/hyperlink" Target="https://leetcode.com/problems/reconstruct-itinerary/" TargetMode="External"/><Relationship Id="rId100" Type="http://schemas.openxmlformats.org/officeDocument/2006/relationships/hyperlink" Target="https://leetcode.com/problems/swim-in-rising-water/" TargetMode="External"/><Relationship Id="rId31" Type="http://schemas.openxmlformats.org/officeDocument/2006/relationships/hyperlink" Target="https://leetcode.com/problems/largest-rectangle-in-histogram/" TargetMode="External"/><Relationship Id="rId30" Type="http://schemas.openxmlformats.org/officeDocument/2006/relationships/hyperlink" Target="https://leetcode.com/problems/car-fleet/" TargetMode="External"/><Relationship Id="rId33" Type="http://schemas.openxmlformats.org/officeDocument/2006/relationships/hyperlink" Target="https://leetcode.com/problems/find-first-and-last-position-of-element-in-sorted-array/" TargetMode="External"/><Relationship Id="rId32" Type="http://schemas.openxmlformats.org/officeDocument/2006/relationships/hyperlink" Target="https://leetcode.com/problems/binary-search/" TargetMode="External"/><Relationship Id="rId35" Type="http://schemas.openxmlformats.org/officeDocument/2006/relationships/hyperlink" Target="https://leetcode.com/problems/koko-eating-bananas/" TargetMode="External"/><Relationship Id="rId34" Type="http://schemas.openxmlformats.org/officeDocument/2006/relationships/hyperlink" Target="https://leetcode.com/problems/search-a-2d-matrix/" TargetMode="External"/><Relationship Id="rId37" Type="http://schemas.openxmlformats.org/officeDocument/2006/relationships/hyperlink" Target="https://leetcode.com/problems/search-in-rotated-sorted-array/" TargetMode="External"/><Relationship Id="rId36" Type="http://schemas.openxmlformats.org/officeDocument/2006/relationships/hyperlink" Target="https://leetcode.com/problems/find-minimum-in-rotated-sorted-array/" TargetMode="External"/><Relationship Id="rId39" Type="http://schemas.openxmlformats.org/officeDocument/2006/relationships/hyperlink" Target="https://leetcode.com/problems/median-of-two-sorted-arrays/" TargetMode="External"/><Relationship Id="rId38" Type="http://schemas.openxmlformats.org/officeDocument/2006/relationships/hyperlink" Target="https://leetcode.com/problems/time-based-key-value-store/" TargetMode="External"/><Relationship Id="rId20" Type="http://schemas.openxmlformats.org/officeDocument/2006/relationships/hyperlink" Target="https://leetcode.com/problems/permutation-in-string/" TargetMode="External"/><Relationship Id="rId22" Type="http://schemas.openxmlformats.org/officeDocument/2006/relationships/hyperlink" Target="https://leetcode.com/problems/minimum-window-substring/" TargetMode="External"/><Relationship Id="rId21" Type="http://schemas.openxmlformats.org/officeDocument/2006/relationships/hyperlink" Target="https://leetcode.com/problems/find-all-anagrams-in-a-string/" TargetMode="External"/><Relationship Id="rId24" Type="http://schemas.openxmlformats.org/officeDocument/2006/relationships/hyperlink" Target="https://leetcode.com/problems/valid-parentheses/" TargetMode="External"/><Relationship Id="rId23" Type="http://schemas.openxmlformats.org/officeDocument/2006/relationships/hyperlink" Target="https://leetcode.com/problems/sliding-window-maximum/" TargetMode="External"/><Relationship Id="rId129" Type="http://schemas.openxmlformats.org/officeDocument/2006/relationships/hyperlink" Target="https://leetcode.com/problems/hand-of-straights/" TargetMode="External"/><Relationship Id="rId128" Type="http://schemas.openxmlformats.org/officeDocument/2006/relationships/hyperlink" Target="https://leetcode.com/problems/gas-station/" TargetMode="External"/><Relationship Id="rId127" Type="http://schemas.openxmlformats.org/officeDocument/2006/relationships/hyperlink" Target="https://leetcode.com/problems/jump-game-ii/" TargetMode="External"/><Relationship Id="rId126" Type="http://schemas.openxmlformats.org/officeDocument/2006/relationships/hyperlink" Target="https://leetcode.com/problems/jump-game/" TargetMode="External"/><Relationship Id="rId26" Type="http://schemas.openxmlformats.org/officeDocument/2006/relationships/hyperlink" Target="https://leetcode.com/problems/min-stack/" TargetMode="External"/><Relationship Id="rId121" Type="http://schemas.openxmlformats.org/officeDocument/2006/relationships/hyperlink" Target="https://leetcode.com/problems/longest-increasing-path-in-a-matrix/" TargetMode="External"/><Relationship Id="rId25" Type="http://schemas.openxmlformats.org/officeDocument/2006/relationships/hyperlink" Target="https://leetcode.com/problems/implement-queue-using-stacks/" TargetMode="External"/><Relationship Id="rId120" Type="http://schemas.openxmlformats.org/officeDocument/2006/relationships/hyperlink" Target="https://leetcode.com/problems/interleaving-string/" TargetMode="External"/><Relationship Id="rId28" Type="http://schemas.openxmlformats.org/officeDocument/2006/relationships/hyperlink" Target="https://leetcode.com/problems/daily-temperatures/" TargetMode="External"/><Relationship Id="rId27" Type="http://schemas.openxmlformats.org/officeDocument/2006/relationships/hyperlink" Target="https://leetcode.com/problems/evaluate-reverse-polish-notation/" TargetMode="External"/><Relationship Id="rId125" Type="http://schemas.openxmlformats.org/officeDocument/2006/relationships/hyperlink" Target="https://leetcode.com/problems/maximum-subarray/" TargetMode="External"/><Relationship Id="rId29" Type="http://schemas.openxmlformats.org/officeDocument/2006/relationships/hyperlink" Target="https://leetcode.com/problems/generate-parentheses/" TargetMode="External"/><Relationship Id="rId124" Type="http://schemas.openxmlformats.org/officeDocument/2006/relationships/hyperlink" Target="https://leetcode.com/problems/regular-expression-matching/" TargetMode="External"/><Relationship Id="rId123" Type="http://schemas.openxmlformats.org/officeDocument/2006/relationships/hyperlink" Target="https://leetcode.com/problems/burst-balloons/" TargetMode="External"/><Relationship Id="rId122" Type="http://schemas.openxmlformats.org/officeDocument/2006/relationships/hyperlink" Target="https://leetcode.com/problems/distinct-subsequences/" TargetMode="External"/><Relationship Id="rId95" Type="http://schemas.openxmlformats.org/officeDocument/2006/relationships/hyperlink" Target="https://leetcode.com/problems/redundant-connection/" TargetMode="External"/><Relationship Id="rId94" Type="http://schemas.openxmlformats.org/officeDocument/2006/relationships/hyperlink" Target="https://leetcode.com/problems/course-schedule-ii/" TargetMode="External"/><Relationship Id="rId97" Type="http://schemas.openxmlformats.org/officeDocument/2006/relationships/hyperlink" Target="https://leetcode.com/problems/network-delay-time/" TargetMode="External"/><Relationship Id="rId96" Type="http://schemas.openxmlformats.org/officeDocument/2006/relationships/hyperlink" Target="https://leetcode.com/problems/word-ladder/" TargetMode="External"/><Relationship Id="rId11" Type="http://schemas.openxmlformats.org/officeDocument/2006/relationships/hyperlink" Target="https://leetcode.com/problems/valid-palindrome/" TargetMode="External"/><Relationship Id="rId99" Type="http://schemas.openxmlformats.org/officeDocument/2006/relationships/hyperlink" Target="https://leetcode.com/problems/cheapest-flights-within-k-stops/" TargetMode="External"/><Relationship Id="rId10" Type="http://schemas.openxmlformats.org/officeDocument/2006/relationships/hyperlink" Target="https://leetcode.com/problems/subarray-sum-equals-k/" TargetMode="External"/><Relationship Id="rId98" Type="http://schemas.openxmlformats.org/officeDocument/2006/relationships/hyperlink" Target="https://leetcode.com/problems/min-cost-to-connect-all-points/" TargetMode="External"/><Relationship Id="rId13" Type="http://schemas.openxmlformats.org/officeDocument/2006/relationships/hyperlink" Target="https://leetcode.com/problems/sort-colors/" TargetMode="External"/><Relationship Id="rId12" Type="http://schemas.openxmlformats.org/officeDocument/2006/relationships/hyperlink" Target="https://leetcode.com/problems/two-sum-ii-input-array-is-sorted/" TargetMode="External"/><Relationship Id="rId91" Type="http://schemas.openxmlformats.org/officeDocument/2006/relationships/hyperlink" Target="https://leetcode.com/problems/pacific-atlantic-water-flow/" TargetMode="External"/><Relationship Id="rId90" Type="http://schemas.openxmlformats.org/officeDocument/2006/relationships/hyperlink" Target="https://leetcode.com/problems/rotting-oranges/" TargetMode="External"/><Relationship Id="rId93" Type="http://schemas.openxmlformats.org/officeDocument/2006/relationships/hyperlink" Target="https://leetcode.com/problems/course-schedule/" TargetMode="External"/><Relationship Id="rId92" Type="http://schemas.openxmlformats.org/officeDocument/2006/relationships/hyperlink" Target="https://leetcode.com/problems/surrounded-regions/" TargetMode="External"/><Relationship Id="rId118" Type="http://schemas.openxmlformats.org/officeDocument/2006/relationships/hyperlink" Target="https://leetcode.com/problems/best-time-to-buy-and-sell-stock-with-cooldown/" TargetMode="External"/><Relationship Id="rId117" Type="http://schemas.openxmlformats.org/officeDocument/2006/relationships/hyperlink" Target="https://leetcode.com/problems/target-sum/" TargetMode="External"/><Relationship Id="rId116" Type="http://schemas.openxmlformats.org/officeDocument/2006/relationships/hyperlink" Target="https://leetcode.com/problems/coin-change-ii/" TargetMode="External"/><Relationship Id="rId115" Type="http://schemas.openxmlformats.org/officeDocument/2006/relationships/hyperlink" Target="https://leetcode.com/problems/longest-common-subsequence/" TargetMode="External"/><Relationship Id="rId119" Type="http://schemas.openxmlformats.org/officeDocument/2006/relationships/hyperlink" Target="https://leetcode.com/problems/edit-distance/" TargetMode="External"/><Relationship Id="rId15" Type="http://schemas.openxmlformats.org/officeDocument/2006/relationships/hyperlink" Target="https://leetcode.com/problems/container-with-most-water/" TargetMode="External"/><Relationship Id="rId110" Type="http://schemas.openxmlformats.org/officeDocument/2006/relationships/hyperlink" Target="https://leetcode.com/problems/maximum-product-subarray/" TargetMode="External"/><Relationship Id="rId14" Type="http://schemas.openxmlformats.org/officeDocument/2006/relationships/hyperlink" Target="https://leetcode.com/problems/3sum/" TargetMode="External"/><Relationship Id="rId17" Type="http://schemas.openxmlformats.org/officeDocument/2006/relationships/hyperlink" Target="https://leetcode.com/problems/best-time-to-buy-and-sell-stock/" TargetMode="External"/><Relationship Id="rId16" Type="http://schemas.openxmlformats.org/officeDocument/2006/relationships/hyperlink" Target="https://leetcode.com/problems/trapping-rain-water/" TargetMode="External"/><Relationship Id="rId19" Type="http://schemas.openxmlformats.org/officeDocument/2006/relationships/hyperlink" Target="https://leetcode.com/problems/longest-repeating-character-replacement/" TargetMode="External"/><Relationship Id="rId114" Type="http://schemas.openxmlformats.org/officeDocument/2006/relationships/hyperlink" Target="https://leetcode.com/problems/unique-paths/" TargetMode="External"/><Relationship Id="rId18" Type="http://schemas.openxmlformats.org/officeDocument/2006/relationships/hyperlink" Target="https://leetcode.com/problems/longest-substring-without-repeating-characters/" TargetMode="External"/><Relationship Id="rId113" Type="http://schemas.openxmlformats.org/officeDocument/2006/relationships/hyperlink" Target="https://leetcode.com/problems/partition-equal-subset-sum/" TargetMode="External"/><Relationship Id="rId112" Type="http://schemas.openxmlformats.org/officeDocument/2006/relationships/hyperlink" Target="https://leetcode.com/problems/longest-increasing-subsequence/" TargetMode="External"/><Relationship Id="rId111" Type="http://schemas.openxmlformats.org/officeDocument/2006/relationships/hyperlink" Target="https://leetcode.com/problems/word-break/" TargetMode="External"/><Relationship Id="rId84" Type="http://schemas.openxmlformats.org/officeDocument/2006/relationships/hyperlink" Target="https://leetcode.com/problems/design-add-and-search-words-data-structure/" TargetMode="External"/><Relationship Id="rId83" Type="http://schemas.openxmlformats.org/officeDocument/2006/relationships/hyperlink" Target="https://leetcode.com/problems/implement-trie-prefix-tree/" TargetMode="External"/><Relationship Id="rId86" Type="http://schemas.openxmlformats.org/officeDocument/2006/relationships/hyperlink" Target="https://leetcode.com/problems/number-of-islands/" TargetMode="External"/><Relationship Id="rId85" Type="http://schemas.openxmlformats.org/officeDocument/2006/relationships/hyperlink" Target="https://leetcode.com/problems/word-search-ii/" TargetMode="External"/><Relationship Id="rId88" Type="http://schemas.openxmlformats.org/officeDocument/2006/relationships/hyperlink" Target="https://leetcode.com/problems/clone-graph/" TargetMode="External"/><Relationship Id="rId150" Type="http://schemas.openxmlformats.org/officeDocument/2006/relationships/hyperlink" Target="https://leetcode.com/problems/sum-of-two-integers/" TargetMode="External"/><Relationship Id="rId87" Type="http://schemas.openxmlformats.org/officeDocument/2006/relationships/hyperlink" Target="https://leetcode.com/problems/max-area-of-island/" TargetMode="External"/><Relationship Id="rId89" Type="http://schemas.openxmlformats.org/officeDocument/2006/relationships/hyperlink" Target="https://leetcode.com/problems/number-of-provinces/" TargetMode="External"/><Relationship Id="rId80" Type="http://schemas.openxmlformats.org/officeDocument/2006/relationships/hyperlink" Target="https://leetcode.com/problems/palindrome-partitioning/" TargetMode="External"/><Relationship Id="rId82" Type="http://schemas.openxmlformats.org/officeDocument/2006/relationships/hyperlink" Target="https://leetcode.com/problems/n-queens/" TargetMode="External"/><Relationship Id="rId81" Type="http://schemas.openxmlformats.org/officeDocument/2006/relationships/hyperlink" Target="https://leetcode.com/problems/letter-combinations-of-a-phone-number/" TargetMode="External"/><Relationship Id="rId1" Type="http://schemas.openxmlformats.org/officeDocument/2006/relationships/hyperlink" Target="https://www.linkedin.com/in/shubham-soni-374a86175/" TargetMode="External"/><Relationship Id="rId2" Type="http://schemas.openxmlformats.org/officeDocument/2006/relationships/hyperlink" Target="https://leetcode.com/problems/contains-duplicate/" TargetMode="External"/><Relationship Id="rId3" Type="http://schemas.openxmlformats.org/officeDocument/2006/relationships/hyperlink" Target="https://leetcode.com/problems/product-of-array-except-self/" TargetMode="External"/><Relationship Id="rId149" Type="http://schemas.openxmlformats.org/officeDocument/2006/relationships/hyperlink" Target="https://leetcode.com/problems/missing-number/" TargetMode="External"/><Relationship Id="rId4" Type="http://schemas.openxmlformats.org/officeDocument/2006/relationships/hyperlink" Target="https://leetcode.com/problems/valid-sudoku/" TargetMode="External"/><Relationship Id="rId148" Type="http://schemas.openxmlformats.org/officeDocument/2006/relationships/hyperlink" Target="https://leetcode.com/problems/reverse-bits/" TargetMode="External"/><Relationship Id="rId9" Type="http://schemas.openxmlformats.org/officeDocument/2006/relationships/hyperlink" Target="https://leetcode.com/problems/longest-consecutive-sequence/" TargetMode="External"/><Relationship Id="rId143" Type="http://schemas.openxmlformats.org/officeDocument/2006/relationships/hyperlink" Target="https://leetcode.com/problems/multiply-strings/" TargetMode="External"/><Relationship Id="rId142" Type="http://schemas.openxmlformats.org/officeDocument/2006/relationships/hyperlink" Target="https://leetcode.com/problems/powx-n/" TargetMode="External"/><Relationship Id="rId141" Type="http://schemas.openxmlformats.org/officeDocument/2006/relationships/hyperlink" Target="https://leetcode.com/problems/plus-one/" TargetMode="External"/><Relationship Id="rId140" Type="http://schemas.openxmlformats.org/officeDocument/2006/relationships/hyperlink" Target="https://leetcode.com/problems/happy-number/" TargetMode="External"/><Relationship Id="rId5" Type="http://schemas.openxmlformats.org/officeDocument/2006/relationships/hyperlink" Target="https://leetcode.com/problems/valid-anagram/" TargetMode="External"/><Relationship Id="rId147" Type="http://schemas.openxmlformats.org/officeDocument/2006/relationships/hyperlink" Target="https://leetcode.com/problems/counting-bits/" TargetMode="External"/><Relationship Id="rId6" Type="http://schemas.openxmlformats.org/officeDocument/2006/relationships/hyperlink" Target="https://leetcode.com/problems/two-sum/" TargetMode="External"/><Relationship Id="rId146" Type="http://schemas.openxmlformats.org/officeDocument/2006/relationships/hyperlink" Target="https://leetcode.com/problems/number-of-1-bits/" TargetMode="External"/><Relationship Id="rId7" Type="http://schemas.openxmlformats.org/officeDocument/2006/relationships/hyperlink" Target="https://leetcode.com/problems/group-anagrams/" TargetMode="External"/><Relationship Id="rId145" Type="http://schemas.openxmlformats.org/officeDocument/2006/relationships/hyperlink" Target="https://leetcode.com/problems/single-number/" TargetMode="External"/><Relationship Id="rId8" Type="http://schemas.openxmlformats.org/officeDocument/2006/relationships/hyperlink" Target="https://leetcode.com/problems/top-k-frequent-elements/" TargetMode="External"/><Relationship Id="rId144" Type="http://schemas.openxmlformats.org/officeDocument/2006/relationships/hyperlink" Target="https://leetcode.com/problems/detect-squares/" TargetMode="External"/><Relationship Id="rId73" Type="http://schemas.openxmlformats.org/officeDocument/2006/relationships/hyperlink" Target="https://leetcode.com/problems/find-median-from-data-stream/" TargetMode="External"/><Relationship Id="rId72" Type="http://schemas.openxmlformats.org/officeDocument/2006/relationships/hyperlink" Target="https://leetcode.com/problems/design-twitter/" TargetMode="External"/><Relationship Id="rId75" Type="http://schemas.openxmlformats.org/officeDocument/2006/relationships/hyperlink" Target="https://leetcode.com/problems/subsets-ii/" TargetMode="External"/><Relationship Id="rId74" Type="http://schemas.openxmlformats.org/officeDocument/2006/relationships/hyperlink" Target="https://leetcode.com/problems/subsets/" TargetMode="External"/><Relationship Id="rId77" Type="http://schemas.openxmlformats.org/officeDocument/2006/relationships/hyperlink" Target="https://leetcode.com/problems/combination-sum-ii/" TargetMode="External"/><Relationship Id="rId76" Type="http://schemas.openxmlformats.org/officeDocument/2006/relationships/hyperlink" Target="https://leetcode.com/problems/combination-sum/" TargetMode="External"/><Relationship Id="rId79" Type="http://schemas.openxmlformats.org/officeDocument/2006/relationships/hyperlink" Target="https://leetcode.com/problems/word-search/" TargetMode="External"/><Relationship Id="rId78" Type="http://schemas.openxmlformats.org/officeDocument/2006/relationships/hyperlink" Target="https://leetcode.com/problems/permutations/" TargetMode="External"/><Relationship Id="rId71" Type="http://schemas.openxmlformats.org/officeDocument/2006/relationships/hyperlink" Target="https://leetcode.com/problems/task-scheduler/" TargetMode="External"/><Relationship Id="rId70" Type="http://schemas.openxmlformats.org/officeDocument/2006/relationships/hyperlink" Target="https://leetcode.com/problems/kth-largest-element-in-an-array/" TargetMode="External"/><Relationship Id="rId139" Type="http://schemas.openxmlformats.org/officeDocument/2006/relationships/hyperlink" Target="https://leetcode.com/problems/set-matrix-zeroes/" TargetMode="External"/><Relationship Id="rId138" Type="http://schemas.openxmlformats.org/officeDocument/2006/relationships/hyperlink" Target="https://leetcode.com/problems/spiral-matrix/" TargetMode="External"/><Relationship Id="rId137" Type="http://schemas.openxmlformats.org/officeDocument/2006/relationships/hyperlink" Target="https://leetcode.com/problems/rotate-image/" TargetMode="External"/><Relationship Id="rId132" Type="http://schemas.openxmlformats.org/officeDocument/2006/relationships/hyperlink" Target="https://leetcode.com/problems/valid-parenthesis-string/" TargetMode="External"/><Relationship Id="rId131" Type="http://schemas.openxmlformats.org/officeDocument/2006/relationships/hyperlink" Target="https://leetcode.com/problems/partition-labels/" TargetMode="External"/><Relationship Id="rId130" Type="http://schemas.openxmlformats.org/officeDocument/2006/relationships/hyperlink" Target="https://leetcode.com/problems/merge-triplets-to-form-target-triplet/" TargetMode="External"/><Relationship Id="rId136" Type="http://schemas.openxmlformats.org/officeDocument/2006/relationships/hyperlink" Target="https://leetcode.com/problems/minimum-interval-to-include-each-query/" TargetMode="External"/><Relationship Id="rId135" Type="http://schemas.openxmlformats.org/officeDocument/2006/relationships/hyperlink" Target="https://leetcode.com/problems/non-overlapping-intervals/" TargetMode="External"/><Relationship Id="rId134" Type="http://schemas.openxmlformats.org/officeDocument/2006/relationships/hyperlink" Target="https://leetcode.com/problems/merge-intervals/" TargetMode="External"/><Relationship Id="rId133" Type="http://schemas.openxmlformats.org/officeDocument/2006/relationships/hyperlink" Target="https://leetcode.com/problems/insert-interval/" TargetMode="External"/><Relationship Id="rId62" Type="http://schemas.openxmlformats.org/officeDocument/2006/relationships/hyperlink" Target="https://leetcode.com/problems/validate-binary-search-tree/" TargetMode="External"/><Relationship Id="rId61" Type="http://schemas.openxmlformats.org/officeDocument/2006/relationships/hyperlink" Target="https://leetcode.com/problems/count-good-nodes-in-binary-tree/" TargetMode="External"/><Relationship Id="rId64" Type="http://schemas.openxmlformats.org/officeDocument/2006/relationships/hyperlink" Target="https://leetcode.com/problems/construct-binary-tree-from-preorder-and-inorder-traversal/" TargetMode="External"/><Relationship Id="rId63" Type="http://schemas.openxmlformats.org/officeDocument/2006/relationships/hyperlink" Target="https://leetcode.com/problems/kth-smallest-element-in-a-bst/" TargetMode="External"/><Relationship Id="rId66" Type="http://schemas.openxmlformats.org/officeDocument/2006/relationships/hyperlink" Target="https://leetcode.com/problems/serialize-and-deserialize-binary-tree/" TargetMode="External"/><Relationship Id="rId65" Type="http://schemas.openxmlformats.org/officeDocument/2006/relationships/hyperlink" Target="https://leetcode.com/problems/binary-tree-maximum-path-sum/" TargetMode="External"/><Relationship Id="rId68" Type="http://schemas.openxmlformats.org/officeDocument/2006/relationships/hyperlink" Target="https://leetcode.com/problems/last-stone-weight/" TargetMode="External"/><Relationship Id="rId67" Type="http://schemas.openxmlformats.org/officeDocument/2006/relationships/hyperlink" Target="https://leetcode.com/problems/kth-largest-element-in-a-stream/" TargetMode="External"/><Relationship Id="rId60" Type="http://schemas.openxmlformats.org/officeDocument/2006/relationships/hyperlink" Target="https://leetcode.com/problems/binary-tree-right-side-view/" TargetMode="External"/><Relationship Id="rId69" Type="http://schemas.openxmlformats.org/officeDocument/2006/relationships/hyperlink" Target="https://leetcode.com/problems/k-closest-points-to-origin/" TargetMode="External"/><Relationship Id="rId51" Type="http://schemas.openxmlformats.org/officeDocument/2006/relationships/hyperlink" Target="https://leetcode.com/problems/reverse-nodes-in-k-group/" TargetMode="External"/><Relationship Id="rId50" Type="http://schemas.openxmlformats.org/officeDocument/2006/relationships/hyperlink" Target="https://leetcode.com/problems/merge-k-sorted-lists/" TargetMode="External"/><Relationship Id="rId53" Type="http://schemas.openxmlformats.org/officeDocument/2006/relationships/hyperlink" Target="https://leetcode.com/problems/maximum-depth-of-binary-tree/" TargetMode="External"/><Relationship Id="rId52" Type="http://schemas.openxmlformats.org/officeDocument/2006/relationships/hyperlink" Target="https://leetcode.com/problems/invert-binary-tree/" TargetMode="External"/><Relationship Id="rId55" Type="http://schemas.openxmlformats.org/officeDocument/2006/relationships/hyperlink" Target="https://leetcode.com/problems/diameter-of-binary-tree/" TargetMode="External"/><Relationship Id="rId54" Type="http://schemas.openxmlformats.org/officeDocument/2006/relationships/hyperlink" Target="https://leetcode.com/problems/same-tree/" TargetMode="External"/><Relationship Id="rId57" Type="http://schemas.openxmlformats.org/officeDocument/2006/relationships/hyperlink" Target="https://leetcode.com/problems/subtree-of-another-tree/" TargetMode="External"/><Relationship Id="rId56" Type="http://schemas.openxmlformats.org/officeDocument/2006/relationships/hyperlink" Target="https://leetcode.com/problems/balanced-binary-tree/" TargetMode="External"/><Relationship Id="rId59" Type="http://schemas.openxmlformats.org/officeDocument/2006/relationships/hyperlink" Target="https://leetcode.com/problems/binary-tree-level-order-traversal/" TargetMode="External"/><Relationship Id="rId58" Type="http://schemas.openxmlformats.org/officeDocument/2006/relationships/hyperlink" Target="https://leetcode.com/problems/lowest-common-ancestor-of-a-binary-search-tree/" TargetMode="External"/><Relationship Id="rId152" Type="http://schemas.openxmlformats.org/officeDocument/2006/relationships/drawing" Target="../drawings/drawing1.xml"/><Relationship Id="rId151" Type="http://schemas.openxmlformats.org/officeDocument/2006/relationships/hyperlink" Target="https://leetcode.com/problems/reverse-intege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14"/>
    <col customWidth="1" min="2" max="2" width="23.43"/>
    <col customWidth="1" min="3" max="3" width="22.0"/>
    <col customWidth="1" min="4" max="4" width="25.57"/>
    <col customWidth="1" min="5" max="5" width="52.0"/>
    <col customWidth="1" min="6" max="6" width="19.14"/>
    <col customWidth="1" min="7" max="7" width="68.0"/>
    <col customWidth="1" min="8" max="8" width="30.0"/>
    <col customWidth="1" min="9" max="25" width="8.71"/>
  </cols>
  <sheetData>
    <row r="1" ht="24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ht="97.5" customHeight="1">
      <c r="A2" s="4"/>
      <c r="B2" s="6" t="s">
        <v>10</v>
      </c>
      <c r="C2" s="7"/>
      <c r="D2" s="8"/>
      <c r="E2" s="9"/>
    </row>
    <row r="3">
      <c r="A3" s="10" t="s">
        <v>13</v>
      </c>
      <c r="B3" s="12">
        <v>1.0</v>
      </c>
      <c r="C3" s="13" t="s">
        <v>15</v>
      </c>
      <c r="D3" s="12">
        <v>1.0</v>
      </c>
      <c r="E3" s="13" t="s">
        <v>16</v>
      </c>
      <c r="F3" s="12" t="s">
        <v>17</v>
      </c>
      <c r="G3" s="14" t="s">
        <v>18</v>
      </c>
      <c r="H3" s="13"/>
    </row>
    <row r="4">
      <c r="A4" s="10" t="s">
        <v>13</v>
      </c>
      <c r="B4" s="12">
        <v>1.0</v>
      </c>
      <c r="C4" s="13" t="s">
        <v>15</v>
      </c>
      <c r="D4" s="12">
        <v>2.0</v>
      </c>
      <c r="E4" s="13" t="s">
        <v>19</v>
      </c>
      <c r="F4" s="12" t="s">
        <v>20</v>
      </c>
      <c r="G4" s="14" t="s">
        <v>21</v>
      </c>
      <c r="H4" s="13"/>
    </row>
    <row r="5">
      <c r="A5" s="10" t="s">
        <v>13</v>
      </c>
      <c r="B5" s="12">
        <v>1.0</v>
      </c>
      <c r="C5" s="13" t="s">
        <v>15</v>
      </c>
      <c r="D5" s="12">
        <v>3.0</v>
      </c>
      <c r="E5" s="13" t="s">
        <v>24</v>
      </c>
      <c r="F5" s="12" t="s">
        <v>20</v>
      </c>
      <c r="G5" s="14" t="s">
        <v>25</v>
      </c>
      <c r="H5" s="13"/>
    </row>
    <row r="6">
      <c r="A6" s="10" t="s">
        <v>13</v>
      </c>
      <c r="B6" s="12">
        <v>2.0</v>
      </c>
      <c r="C6" s="13" t="s">
        <v>26</v>
      </c>
      <c r="D6" s="12">
        <v>4.0</v>
      </c>
      <c r="E6" s="13" t="s">
        <v>27</v>
      </c>
      <c r="F6" s="12" t="s">
        <v>17</v>
      </c>
      <c r="G6" s="14" t="s">
        <v>28</v>
      </c>
      <c r="H6" s="13"/>
    </row>
    <row r="7">
      <c r="A7" s="10" t="s">
        <v>13</v>
      </c>
      <c r="B7" s="12">
        <v>2.0</v>
      </c>
      <c r="C7" s="13" t="s">
        <v>26</v>
      </c>
      <c r="D7" s="12">
        <v>5.0</v>
      </c>
      <c r="E7" s="13" t="s">
        <v>29</v>
      </c>
      <c r="F7" s="12" t="s">
        <v>17</v>
      </c>
      <c r="G7" s="14" t="s">
        <v>30</v>
      </c>
      <c r="H7" s="13"/>
    </row>
    <row r="8">
      <c r="A8" s="10" t="s">
        <v>13</v>
      </c>
      <c r="B8" s="12">
        <v>2.0</v>
      </c>
      <c r="C8" s="13" t="s">
        <v>26</v>
      </c>
      <c r="D8" s="12">
        <v>6.0</v>
      </c>
      <c r="E8" s="13" t="s">
        <v>31</v>
      </c>
      <c r="F8" s="12" t="s">
        <v>20</v>
      </c>
      <c r="G8" s="14" t="s">
        <v>32</v>
      </c>
      <c r="H8" s="13"/>
    </row>
    <row r="9">
      <c r="A9" s="10" t="s">
        <v>13</v>
      </c>
      <c r="B9" s="12">
        <v>3.0</v>
      </c>
      <c r="C9" s="13" t="s">
        <v>26</v>
      </c>
      <c r="D9" s="12">
        <v>7.0</v>
      </c>
      <c r="E9" s="13" t="s">
        <v>34</v>
      </c>
      <c r="F9" s="12" t="s">
        <v>20</v>
      </c>
      <c r="G9" s="14" t="s">
        <v>35</v>
      </c>
      <c r="H9" s="13"/>
    </row>
    <row r="10">
      <c r="A10" s="10" t="s">
        <v>13</v>
      </c>
      <c r="B10" s="12">
        <v>3.0</v>
      </c>
      <c r="C10" s="13" t="s">
        <v>26</v>
      </c>
      <c r="D10" s="12">
        <v>8.0</v>
      </c>
      <c r="E10" s="13" t="s">
        <v>37</v>
      </c>
      <c r="F10" s="12" t="s">
        <v>20</v>
      </c>
      <c r="G10" s="14" t="s">
        <v>38</v>
      </c>
      <c r="H10" s="13"/>
    </row>
    <row r="11">
      <c r="A11" s="10" t="s">
        <v>13</v>
      </c>
      <c r="B11" s="12">
        <v>4.0</v>
      </c>
      <c r="C11" s="13" t="s">
        <v>26</v>
      </c>
      <c r="D11" s="12">
        <v>9.0</v>
      </c>
      <c r="E11" s="13" t="s">
        <v>39</v>
      </c>
      <c r="F11" s="12" t="s">
        <v>20</v>
      </c>
      <c r="G11" s="14" t="s">
        <v>40</v>
      </c>
      <c r="H11" s="13"/>
    </row>
    <row r="12">
      <c r="A12" s="10" t="s">
        <v>13</v>
      </c>
      <c r="B12" s="12">
        <v>5.0</v>
      </c>
      <c r="C12" s="13" t="s">
        <v>33</v>
      </c>
      <c r="D12" s="12">
        <v>10.0</v>
      </c>
      <c r="E12" s="13" t="s">
        <v>42</v>
      </c>
      <c r="F12" s="12" t="s">
        <v>17</v>
      </c>
      <c r="G12" s="14" t="s">
        <v>43</v>
      </c>
      <c r="H12" s="13"/>
    </row>
    <row r="13">
      <c r="A13" s="10" t="s">
        <v>13</v>
      </c>
      <c r="B13" s="12">
        <v>5.0</v>
      </c>
      <c r="C13" s="13" t="s">
        <v>33</v>
      </c>
      <c r="D13" s="12">
        <v>11.0</v>
      </c>
      <c r="E13" s="13" t="s">
        <v>45</v>
      </c>
      <c r="F13" s="12" t="s">
        <v>20</v>
      </c>
      <c r="G13" s="14" t="s">
        <v>46</v>
      </c>
      <c r="H13" s="13"/>
    </row>
    <row r="14">
      <c r="A14" s="10" t="s">
        <v>13</v>
      </c>
      <c r="B14" s="12">
        <v>6.0</v>
      </c>
      <c r="C14" s="13" t="s">
        <v>33</v>
      </c>
      <c r="D14" s="12">
        <v>12.0</v>
      </c>
      <c r="E14" s="13" t="s">
        <v>48</v>
      </c>
      <c r="F14" s="12" t="s">
        <v>20</v>
      </c>
      <c r="G14" s="14" t="s">
        <v>49</v>
      </c>
      <c r="H14" s="13"/>
    </row>
    <row r="15">
      <c r="A15" s="10" t="s">
        <v>13</v>
      </c>
      <c r="B15" s="12">
        <v>6.0</v>
      </c>
      <c r="C15" s="13" t="s">
        <v>33</v>
      </c>
      <c r="D15" s="12">
        <v>13.0</v>
      </c>
      <c r="E15" s="13" t="s">
        <v>51</v>
      </c>
      <c r="F15" s="12" t="s">
        <v>20</v>
      </c>
      <c r="G15" s="14" t="s">
        <v>52</v>
      </c>
      <c r="H15" s="13"/>
    </row>
    <row r="16">
      <c r="A16" s="19" t="s">
        <v>13</v>
      </c>
      <c r="B16" s="20">
        <v>7.0</v>
      </c>
      <c r="C16" s="21" t="s">
        <v>54</v>
      </c>
      <c r="D16" s="20"/>
      <c r="E16" s="22" t="s">
        <v>55</v>
      </c>
      <c r="F16" s="20"/>
      <c r="G16" s="21"/>
      <c r="H16" s="21"/>
    </row>
    <row r="17">
      <c r="A17" s="10" t="s">
        <v>13</v>
      </c>
      <c r="B17" s="12">
        <v>8.0</v>
      </c>
      <c r="C17" s="13" t="s">
        <v>33</v>
      </c>
      <c r="D17" s="12">
        <v>14.0</v>
      </c>
      <c r="E17" s="13" t="s">
        <v>56</v>
      </c>
      <c r="F17" s="12" t="s">
        <v>20</v>
      </c>
      <c r="G17" s="14" t="s">
        <v>57</v>
      </c>
      <c r="H17" s="13"/>
    </row>
    <row r="18">
      <c r="A18" s="10" t="s">
        <v>13</v>
      </c>
      <c r="B18" s="12">
        <v>8.0</v>
      </c>
      <c r="C18" s="13" t="s">
        <v>33</v>
      </c>
      <c r="D18" s="12">
        <v>15.0</v>
      </c>
      <c r="E18" s="13" t="s">
        <v>59</v>
      </c>
      <c r="F18" s="12" t="s">
        <v>60</v>
      </c>
      <c r="G18" s="14" t="s">
        <v>61</v>
      </c>
      <c r="H18" s="13"/>
    </row>
    <row r="19">
      <c r="A19" s="10" t="s">
        <v>13</v>
      </c>
      <c r="B19" s="12">
        <v>9.0</v>
      </c>
      <c r="C19" s="13" t="s">
        <v>36</v>
      </c>
      <c r="D19" s="12">
        <v>16.0</v>
      </c>
      <c r="E19" s="13" t="s">
        <v>63</v>
      </c>
      <c r="F19" s="12" t="s">
        <v>17</v>
      </c>
      <c r="G19" s="14" t="s">
        <v>64</v>
      </c>
      <c r="H19" s="13"/>
    </row>
    <row r="20">
      <c r="A20" s="10" t="s">
        <v>13</v>
      </c>
      <c r="B20" s="12">
        <v>9.0</v>
      </c>
      <c r="C20" s="13" t="s">
        <v>36</v>
      </c>
      <c r="D20" s="12">
        <v>17.0</v>
      </c>
      <c r="E20" s="13" t="s">
        <v>67</v>
      </c>
      <c r="F20" s="12" t="s">
        <v>20</v>
      </c>
      <c r="G20" s="14" t="s">
        <v>68</v>
      </c>
      <c r="H20" s="13"/>
    </row>
    <row r="21">
      <c r="A21" s="10" t="s">
        <v>13</v>
      </c>
      <c r="B21" s="12">
        <v>10.0</v>
      </c>
      <c r="C21" s="13" t="s">
        <v>36</v>
      </c>
      <c r="D21" s="12">
        <v>18.0</v>
      </c>
      <c r="E21" s="13" t="s">
        <v>70</v>
      </c>
      <c r="F21" s="12" t="s">
        <v>20</v>
      </c>
      <c r="G21" s="14" t="s">
        <v>71</v>
      </c>
      <c r="H21" s="13"/>
    </row>
    <row r="22" ht="15.75" customHeight="1">
      <c r="A22" s="10" t="s">
        <v>13</v>
      </c>
      <c r="B22" s="12">
        <v>10.0</v>
      </c>
      <c r="C22" s="13" t="s">
        <v>36</v>
      </c>
      <c r="D22" s="12">
        <v>19.0</v>
      </c>
      <c r="E22" s="13" t="s">
        <v>73</v>
      </c>
      <c r="F22" s="12" t="s">
        <v>20</v>
      </c>
      <c r="G22" s="14" t="s">
        <v>74</v>
      </c>
      <c r="H22" s="13"/>
    </row>
    <row r="23" ht="15.75" customHeight="1">
      <c r="A23" s="10" t="s">
        <v>13</v>
      </c>
      <c r="B23" s="12">
        <v>11.0</v>
      </c>
      <c r="C23" s="13" t="s">
        <v>36</v>
      </c>
      <c r="D23" s="12">
        <v>20.0</v>
      </c>
      <c r="E23" s="13" t="s">
        <v>76</v>
      </c>
      <c r="F23" s="12" t="s">
        <v>20</v>
      </c>
      <c r="G23" s="14" t="s">
        <v>77</v>
      </c>
      <c r="H23" s="13"/>
    </row>
    <row r="24" ht="15.75" customHeight="1">
      <c r="A24" s="10" t="s">
        <v>13</v>
      </c>
      <c r="B24" s="12">
        <v>11.0</v>
      </c>
      <c r="C24" s="13" t="s">
        <v>36</v>
      </c>
      <c r="D24" s="12">
        <v>21.0</v>
      </c>
      <c r="E24" s="13" t="s">
        <v>79</v>
      </c>
      <c r="F24" s="12" t="s">
        <v>60</v>
      </c>
      <c r="G24" s="14" t="s">
        <v>80</v>
      </c>
      <c r="H24" s="13"/>
    </row>
    <row r="25" ht="15.75" customHeight="1">
      <c r="A25" s="10" t="s">
        <v>13</v>
      </c>
      <c r="B25" s="12">
        <v>12.0</v>
      </c>
      <c r="C25" s="13" t="s">
        <v>36</v>
      </c>
      <c r="D25" s="12">
        <v>22.0</v>
      </c>
      <c r="E25" s="13" t="s">
        <v>82</v>
      </c>
      <c r="F25" s="12" t="s">
        <v>60</v>
      </c>
      <c r="G25" s="14" t="s">
        <v>83</v>
      </c>
      <c r="H25" s="13"/>
    </row>
    <row r="26" ht="15.75" customHeight="1">
      <c r="A26" s="10" t="s">
        <v>13</v>
      </c>
      <c r="B26" s="12">
        <v>13.0</v>
      </c>
      <c r="C26" s="13" t="s">
        <v>41</v>
      </c>
      <c r="D26" s="12">
        <v>23.0</v>
      </c>
      <c r="E26" s="13" t="s">
        <v>84</v>
      </c>
      <c r="F26" s="12" t="s">
        <v>17</v>
      </c>
      <c r="G26" s="14" t="s">
        <v>85</v>
      </c>
      <c r="H26" s="13"/>
    </row>
    <row r="27" ht="15.75" customHeight="1">
      <c r="A27" s="10" t="s">
        <v>13</v>
      </c>
      <c r="B27" s="12">
        <v>13.0</v>
      </c>
      <c r="C27" s="13" t="s">
        <v>41</v>
      </c>
      <c r="D27" s="12">
        <v>24.0</v>
      </c>
      <c r="E27" s="13" t="s">
        <v>86</v>
      </c>
      <c r="F27" s="12" t="s">
        <v>17</v>
      </c>
      <c r="G27" s="14" t="s">
        <v>87</v>
      </c>
      <c r="H27" s="13"/>
    </row>
    <row r="28" ht="15.75" customHeight="1">
      <c r="A28" s="10" t="s">
        <v>13</v>
      </c>
      <c r="B28" s="12">
        <v>13.0</v>
      </c>
      <c r="C28" s="13" t="s">
        <v>41</v>
      </c>
      <c r="D28" s="12">
        <v>25.0</v>
      </c>
      <c r="E28" s="13" t="s">
        <v>88</v>
      </c>
      <c r="F28" s="12" t="s">
        <v>20</v>
      </c>
      <c r="G28" s="14" t="s">
        <v>89</v>
      </c>
      <c r="H28" s="13"/>
    </row>
    <row r="29" ht="15.75" customHeight="1">
      <c r="A29" s="19" t="s">
        <v>13</v>
      </c>
      <c r="B29" s="20">
        <v>14.0</v>
      </c>
      <c r="C29" s="21" t="s">
        <v>54</v>
      </c>
      <c r="D29" s="20"/>
      <c r="E29" s="22" t="s">
        <v>90</v>
      </c>
      <c r="F29" s="20"/>
      <c r="G29" s="21"/>
      <c r="H29" s="21"/>
    </row>
    <row r="30" ht="15.75" customHeight="1">
      <c r="A30" s="10" t="s">
        <v>13</v>
      </c>
      <c r="B30" s="12">
        <v>15.0</v>
      </c>
      <c r="C30" s="13" t="s">
        <v>41</v>
      </c>
      <c r="D30" s="12">
        <v>26.0</v>
      </c>
      <c r="E30" s="13" t="s">
        <v>91</v>
      </c>
      <c r="F30" s="12" t="s">
        <v>20</v>
      </c>
      <c r="G30" s="14" t="s">
        <v>92</v>
      </c>
      <c r="H30" s="13"/>
    </row>
    <row r="31" ht="15.75" customHeight="1">
      <c r="A31" s="10" t="s">
        <v>13</v>
      </c>
      <c r="B31" s="12">
        <v>15.0</v>
      </c>
      <c r="C31" s="13" t="s">
        <v>41</v>
      </c>
      <c r="D31" s="12">
        <v>27.0</v>
      </c>
      <c r="E31" s="13" t="s">
        <v>94</v>
      </c>
      <c r="F31" s="12" t="s">
        <v>20</v>
      </c>
      <c r="G31" s="14" t="s">
        <v>95</v>
      </c>
      <c r="H31" s="13"/>
    </row>
    <row r="32" ht="15.75" customHeight="1">
      <c r="A32" s="10" t="s">
        <v>13</v>
      </c>
      <c r="B32" s="12">
        <v>16.0</v>
      </c>
      <c r="C32" s="13" t="s">
        <v>41</v>
      </c>
      <c r="D32" s="12">
        <v>28.0</v>
      </c>
      <c r="E32" s="13" t="s">
        <v>96</v>
      </c>
      <c r="F32" s="12" t="s">
        <v>20</v>
      </c>
      <c r="G32" s="14" t="s">
        <v>97</v>
      </c>
      <c r="H32" s="13"/>
    </row>
    <row r="33" ht="15.75" customHeight="1">
      <c r="A33" s="10" t="s">
        <v>13</v>
      </c>
      <c r="B33" s="12">
        <v>16.0</v>
      </c>
      <c r="C33" s="13" t="s">
        <v>41</v>
      </c>
      <c r="D33" s="12">
        <v>29.0</v>
      </c>
      <c r="E33" s="13" t="s">
        <v>98</v>
      </c>
      <c r="F33" s="12" t="s">
        <v>20</v>
      </c>
      <c r="G33" s="14" t="s">
        <v>99</v>
      </c>
      <c r="H33" s="13"/>
    </row>
    <row r="34" ht="15.75" customHeight="1">
      <c r="A34" s="10" t="s">
        <v>13</v>
      </c>
      <c r="B34" s="12">
        <v>17.0</v>
      </c>
      <c r="C34" s="13" t="s">
        <v>41</v>
      </c>
      <c r="D34" s="12">
        <v>30.0</v>
      </c>
      <c r="E34" s="13" t="s">
        <v>100</v>
      </c>
      <c r="F34" s="12" t="s">
        <v>60</v>
      </c>
      <c r="G34" s="14" t="s">
        <v>101</v>
      </c>
      <c r="H34" s="13"/>
    </row>
    <row r="35" ht="15.75" customHeight="1">
      <c r="A35" s="10" t="s">
        <v>13</v>
      </c>
      <c r="B35" s="12">
        <v>18.0</v>
      </c>
      <c r="C35" s="13" t="s">
        <v>44</v>
      </c>
      <c r="D35" s="12">
        <v>31.0</v>
      </c>
      <c r="E35" s="13" t="s">
        <v>44</v>
      </c>
      <c r="F35" s="12" t="s">
        <v>17</v>
      </c>
      <c r="G35" s="14" t="s">
        <v>102</v>
      </c>
      <c r="H35" s="13"/>
    </row>
    <row r="36" ht="15.75" customHeight="1">
      <c r="A36" s="10" t="s">
        <v>13</v>
      </c>
      <c r="B36" s="12">
        <v>18.0</v>
      </c>
      <c r="C36" s="13" t="s">
        <v>44</v>
      </c>
      <c r="D36" s="12">
        <v>32.0</v>
      </c>
      <c r="E36" s="13" t="s">
        <v>103</v>
      </c>
      <c r="F36" s="12" t="s">
        <v>20</v>
      </c>
      <c r="G36" s="14" t="s">
        <v>104</v>
      </c>
      <c r="H36" s="13"/>
    </row>
    <row r="37" ht="15.75" customHeight="1">
      <c r="A37" s="10" t="s">
        <v>13</v>
      </c>
      <c r="B37" s="12">
        <v>19.0</v>
      </c>
      <c r="C37" s="13" t="s">
        <v>44</v>
      </c>
      <c r="D37" s="12">
        <v>33.0</v>
      </c>
      <c r="E37" s="13" t="s">
        <v>105</v>
      </c>
      <c r="F37" s="12" t="s">
        <v>20</v>
      </c>
      <c r="G37" s="14" t="s">
        <v>106</v>
      </c>
      <c r="H37" s="13"/>
    </row>
    <row r="38" ht="15.75" customHeight="1">
      <c r="A38" s="10" t="s">
        <v>13</v>
      </c>
      <c r="B38" s="12">
        <v>19.0</v>
      </c>
      <c r="C38" s="13" t="s">
        <v>44</v>
      </c>
      <c r="D38" s="12">
        <v>34.0</v>
      </c>
      <c r="E38" s="13" t="s">
        <v>107</v>
      </c>
      <c r="F38" s="12" t="s">
        <v>20</v>
      </c>
      <c r="G38" s="14" t="s">
        <v>108</v>
      </c>
      <c r="H38" s="13"/>
    </row>
    <row r="39" ht="15.75" customHeight="1">
      <c r="A39" s="10" t="s">
        <v>13</v>
      </c>
      <c r="B39" s="12">
        <v>20.0</v>
      </c>
      <c r="C39" s="13" t="s">
        <v>44</v>
      </c>
      <c r="D39" s="12">
        <v>35.0</v>
      </c>
      <c r="E39" s="13" t="s">
        <v>109</v>
      </c>
      <c r="F39" s="12" t="s">
        <v>20</v>
      </c>
      <c r="G39" s="14" t="s">
        <v>110</v>
      </c>
      <c r="H39" s="13"/>
    </row>
    <row r="40" ht="15.75" customHeight="1">
      <c r="A40" s="10" t="s">
        <v>13</v>
      </c>
      <c r="B40" s="12">
        <v>20.0</v>
      </c>
      <c r="C40" s="13" t="s">
        <v>44</v>
      </c>
      <c r="D40" s="12">
        <v>36.0</v>
      </c>
      <c r="E40" s="13" t="s">
        <v>111</v>
      </c>
      <c r="F40" s="12" t="s">
        <v>20</v>
      </c>
      <c r="G40" s="14" t="s">
        <v>112</v>
      </c>
      <c r="H40" s="13"/>
    </row>
    <row r="41" ht="15.75" customHeight="1">
      <c r="A41" s="19" t="s">
        <v>13</v>
      </c>
      <c r="B41" s="20">
        <v>21.0</v>
      </c>
      <c r="C41" s="21" t="s">
        <v>54</v>
      </c>
      <c r="D41" s="20"/>
      <c r="E41" s="22" t="s">
        <v>113</v>
      </c>
      <c r="F41" s="20"/>
      <c r="G41" s="21"/>
      <c r="H41" s="21"/>
    </row>
    <row r="42" ht="15.75" customHeight="1">
      <c r="A42" s="10" t="s">
        <v>13</v>
      </c>
      <c r="B42" s="12">
        <v>22.0</v>
      </c>
      <c r="C42" s="13" t="s">
        <v>44</v>
      </c>
      <c r="D42" s="12">
        <v>37.0</v>
      </c>
      <c r="E42" s="13" t="s">
        <v>114</v>
      </c>
      <c r="F42" s="12" t="s">
        <v>20</v>
      </c>
      <c r="G42" s="14" t="s">
        <v>115</v>
      </c>
      <c r="H42" s="13"/>
    </row>
    <row r="43" ht="15.75" customHeight="1">
      <c r="A43" s="10" t="s">
        <v>13</v>
      </c>
      <c r="B43" s="12">
        <v>22.0</v>
      </c>
      <c r="C43" s="13" t="s">
        <v>44</v>
      </c>
      <c r="D43" s="12">
        <v>38.0</v>
      </c>
      <c r="E43" s="13" t="s">
        <v>116</v>
      </c>
      <c r="F43" s="12" t="s">
        <v>60</v>
      </c>
      <c r="G43" s="14" t="s">
        <v>117</v>
      </c>
      <c r="H43" s="13"/>
    </row>
    <row r="44" ht="15.75" customHeight="1">
      <c r="A44" s="10" t="s">
        <v>13</v>
      </c>
      <c r="B44" s="12">
        <v>23.0</v>
      </c>
      <c r="C44" s="13" t="s">
        <v>47</v>
      </c>
      <c r="D44" s="12">
        <v>39.0</v>
      </c>
      <c r="E44" s="13" t="s">
        <v>118</v>
      </c>
      <c r="F44" s="12" t="s">
        <v>17</v>
      </c>
      <c r="G44" s="14" t="s">
        <v>119</v>
      </c>
      <c r="H44" s="13"/>
    </row>
    <row r="45" ht="15.75" customHeight="1">
      <c r="A45" s="10" t="s">
        <v>13</v>
      </c>
      <c r="B45" s="12">
        <v>23.0</v>
      </c>
      <c r="C45" s="13" t="s">
        <v>47</v>
      </c>
      <c r="D45" s="12">
        <v>40.0</v>
      </c>
      <c r="E45" s="13" t="s">
        <v>120</v>
      </c>
      <c r="F45" s="12" t="s">
        <v>17</v>
      </c>
      <c r="G45" s="14" t="s">
        <v>121</v>
      </c>
      <c r="H45" s="13"/>
    </row>
    <row r="46" ht="15.75" customHeight="1">
      <c r="A46" s="10" t="s">
        <v>13</v>
      </c>
      <c r="B46" s="12">
        <v>23.0</v>
      </c>
      <c r="C46" s="13" t="s">
        <v>47</v>
      </c>
      <c r="D46" s="12">
        <v>41.0</v>
      </c>
      <c r="E46" s="13" t="s">
        <v>122</v>
      </c>
      <c r="F46" s="12" t="s">
        <v>17</v>
      </c>
      <c r="G46" s="14" t="s">
        <v>123</v>
      </c>
      <c r="H46" s="13"/>
    </row>
    <row r="47" ht="15.75" customHeight="1">
      <c r="A47" s="10" t="s">
        <v>13</v>
      </c>
      <c r="B47" s="12">
        <v>24.0</v>
      </c>
      <c r="C47" s="13" t="s">
        <v>47</v>
      </c>
      <c r="D47" s="12">
        <v>42.0</v>
      </c>
      <c r="E47" s="13" t="s">
        <v>124</v>
      </c>
      <c r="F47" s="12" t="s">
        <v>17</v>
      </c>
      <c r="G47" s="14" t="s">
        <v>125</v>
      </c>
      <c r="H47" s="13"/>
    </row>
    <row r="48" ht="15.75" customHeight="1">
      <c r="A48" s="10" t="s">
        <v>13</v>
      </c>
      <c r="B48" s="12">
        <v>24.0</v>
      </c>
      <c r="C48" s="13" t="s">
        <v>47</v>
      </c>
      <c r="D48" s="12">
        <v>43.0</v>
      </c>
      <c r="E48" s="13" t="s">
        <v>126</v>
      </c>
      <c r="F48" s="12" t="s">
        <v>20</v>
      </c>
      <c r="G48" s="14" t="s">
        <v>127</v>
      </c>
      <c r="H48" s="13"/>
    </row>
    <row r="49" ht="15.75" customHeight="1">
      <c r="A49" s="10" t="s">
        <v>13</v>
      </c>
      <c r="B49" s="12">
        <v>25.0</v>
      </c>
      <c r="C49" s="13" t="s">
        <v>47</v>
      </c>
      <c r="D49" s="12">
        <v>44.0</v>
      </c>
      <c r="E49" s="13" t="s">
        <v>128</v>
      </c>
      <c r="F49" s="12" t="s">
        <v>20</v>
      </c>
      <c r="G49" s="14" t="s">
        <v>129</v>
      </c>
      <c r="H49" s="13"/>
    </row>
    <row r="50" ht="15.75" customHeight="1">
      <c r="A50" s="10" t="s">
        <v>13</v>
      </c>
      <c r="B50" s="12">
        <v>25.0</v>
      </c>
      <c r="C50" s="13" t="s">
        <v>47</v>
      </c>
      <c r="D50" s="12">
        <v>45.0</v>
      </c>
      <c r="E50" s="13" t="s">
        <v>130</v>
      </c>
      <c r="F50" s="12" t="s">
        <v>20</v>
      </c>
      <c r="G50" s="14" t="s">
        <v>131</v>
      </c>
      <c r="H50" s="13"/>
    </row>
    <row r="51" ht="15.75" customHeight="1">
      <c r="A51" s="10" t="s">
        <v>13</v>
      </c>
      <c r="B51" s="12">
        <v>26.0</v>
      </c>
      <c r="C51" s="13" t="s">
        <v>47</v>
      </c>
      <c r="D51" s="12">
        <v>46.0</v>
      </c>
      <c r="E51" s="13" t="s">
        <v>132</v>
      </c>
      <c r="F51" s="12" t="s">
        <v>20</v>
      </c>
      <c r="G51" s="14" t="s">
        <v>133</v>
      </c>
      <c r="H51" s="13"/>
    </row>
    <row r="52" ht="15.75" customHeight="1">
      <c r="A52" s="10" t="s">
        <v>13</v>
      </c>
      <c r="B52" s="12">
        <v>26.0</v>
      </c>
      <c r="C52" s="13" t="s">
        <v>47</v>
      </c>
      <c r="D52" s="12">
        <v>47.0</v>
      </c>
      <c r="E52" s="13" t="s">
        <v>134</v>
      </c>
      <c r="F52" s="12" t="s">
        <v>20</v>
      </c>
      <c r="G52" s="14" t="s">
        <v>135</v>
      </c>
      <c r="H52" s="13"/>
    </row>
    <row r="53" ht="15.75" customHeight="1">
      <c r="A53" s="10" t="s">
        <v>13</v>
      </c>
      <c r="B53" s="12">
        <v>27.0</v>
      </c>
      <c r="C53" s="13" t="s">
        <v>47</v>
      </c>
      <c r="D53" s="12">
        <v>48.0</v>
      </c>
      <c r="E53" s="13" t="s">
        <v>136</v>
      </c>
      <c r="F53" s="12" t="s">
        <v>20</v>
      </c>
      <c r="G53" s="14" t="s">
        <v>137</v>
      </c>
      <c r="H53" s="13"/>
    </row>
    <row r="54" ht="15.75" customHeight="1">
      <c r="A54" s="10" t="s">
        <v>13</v>
      </c>
      <c r="B54" s="12">
        <v>27.0</v>
      </c>
      <c r="C54" s="13" t="s">
        <v>47</v>
      </c>
      <c r="D54" s="12">
        <v>49.0</v>
      </c>
      <c r="E54" s="13" t="s">
        <v>138</v>
      </c>
      <c r="F54" s="12" t="s">
        <v>60</v>
      </c>
      <c r="G54" s="14" t="s">
        <v>139</v>
      </c>
      <c r="H54" s="13"/>
    </row>
    <row r="55" ht="15.75" customHeight="1">
      <c r="A55" s="19" t="s">
        <v>13</v>
      </c>
      <c r="B55" s="20">
        <v>28.0</v>
      </c>
      <c r="C55" s="21" t="s">
        <v>54</v>
      </c>
      <c r="D55" s="20"/>
      <c r="E55" s="22" t="s">
        <v>140</v>
      </c>
      <c r="F55" s="20"/>
      <c r="G55" s="21"/>
      <c r="H55" s="21"/>
    </row>
    <row r="56" ht="15.75" customHeight="1">
      <c r="A56" s="10" t="s">
        <v>13</v>
      </c>
      <c r="B56" s="12">
        <v>29.0</v>
      </c>
      <c r="C56" s="13" t="s">
        <v>47</v>
      </c>
      <c r="D56" s="12">
        <v>50.0</v>
      </c>
      <c r="E56" s="13" t="s">
        <v>141</v>
      </c>
      <c r="F56" s="12" t="s">
        <v>60</v>
      </c>
      <c r="G56" s="14" t="s">
        <v>142</v>
      </c>
      <c r="H56" s="13"/>
    </row>
    <row r="57" ht="15.75" customHeight="1">
      <c r="A57" s="10" t="s">
        <v>13</v>
      </c>
      <c r="B57" s="12">
        <v>30.0</v>
      </c>
      <c r="C57" s="13" t="s">
        <v>50</v>
      </c>
      <c r="D57" s="12">
        <v>51.0</v>
      </c>
      <c r="E57" s="13" t="s">
        <v>143</v>
      </c>
      <c r="F57" s="12" t="s">
        <v>17</v>
      </c>
      <c r="G57" s="14" t="s">
        <v>144</v>
      </c>
      <c r="H57" s="13"/>
    </row>
    <row r="58" ht="15.75" customHeight="1">
      <c r="A58" s="10" t="s">
        <v>13</v>
      </c>
      <c r="B58" s="12">
        <v>30.0</v>
      </c>
      <c r="C58" s="13" t="s">
        <v>50</v>
      </c>
      <c r="D58" s="12">
        <v>52.0</v>
      </c>
      <c r="E58" s="13" t="s">
        <v>145</v>
      </c>
      <c r="F58" s="12" t="s">
        <v>17</v>
      </c>
      <c r="G58" s="14" t="s">
        <v>146</v>
      </c>
      <c r="H58" s="13"/>
    </row>
    <row r="59" ht="15.75" customHeight="1">
      <c r="A59" s="10" t="s">
        <v>13</v>
      </c>
      <c r="B59" s="12">
        <v>30.0</v>
      </c>
      <c r="C59" s="13" t="s">
        <v>50</v>
      </c>
      <c r="D59" s="12">
        <v>53.0</v>
      </c>
      <c r="E59" s="13" t="s">
        <v>147</v>
      </c>
      <c r="F59" s="12" t="s">
        <v>17</v>
      </c>
      <c r="G59" s="14" t="s">
        <v>148</v>
      </c>
      <c r="H59" s="13"/>
    </row>
    <row r="60" ht="15.75" customHeight="1">
      <c r="A60" s="10" t="s">
        <v>13</v>
      </c>
      <c r="B60" s="12">
        <v>31.0</v>
      </c>
      <c r="C60" s="13" t="s">
        <v>50</v>
      </c>
      <c r="D60" s="12">
        <v>54.0</v>
      </c>
      <c r="E60" s="13" t="s">
        <v>149</v>
      </c>
      <c r="F60" s="12" t="s">
        <v>17</v>
      </c>
      <c r="G60" s="14" t="s">
        <v>150</v>
      </c>
      <c r="H60" s="13"/>
    </row>
    <row r="61" ht="15.75" customHeight="1">
      <c r="A61" s="10" t="s">
        <v>13</v>
      </c>
      <c r="B61" s="12">
        <v>31.0</v>
      </c>
      <c r="C61" s="13" t="s">
        <v>50</v>
      </c>
      <c r="D61" s="12">
        <v>55.0</v>
      </c>
      <c r="E61" s="13" t="s">
        <v>151</v>
      </c>
      <c r="F61" s="12" t="s">
        <v>17</v>
      </c>
      <c r="G61" s="14" t="s">
        <v>152</v>
      </c>
      <c r="H61" s="13"/>
    </row>
    <row r="62" ht="15.75" customHeight="1">
      <c r="A62" s="10" t="s">
        <v>13</v>
      </c>
      <c r="B62" s="12">
        <v>31.0</v>
      </c>
      <c r="C62" s="13" t="s">
        <v>50</v>
      </c>
      <c r="D62" s="12">
        <v>56.0</v>
      </c>
      <c r="E62" s="13" t="s">
        <v>153</v>
      </c>
      <c r="F62" s="12" t="s">
        <v>17</v>
      </c>
      <c r="G62" s="14" t="s">
        <v>154</v>
      </c>
      <c r="H62" s="13"/>
    </row>
    <row r="63" ht="15.75" customHeight="1">
      <c r="A63" s="10" t="s">
        <v>13</v>
      </c>
      <c r="B63" s="12">
        <v>32.0</v>
      </c>
      <c r="C63" s="13" t="s">
        <v>50</v>
      </c>
      <c r="D63" s="12">
        <v>57.0</v>
      </c>
      <c r="E63" s="13" t="s">
        <v>155</v>
      </c>
      <c r="F63" s="12" t="s">
        <v>20</v>
      </c>
      <c r="G63" s="14" t="s">
        <v>156</v>
      </c>
      <c r="H63" s="13"/>
    </row>
    <row r="64" ht="15.75" customHeight="1">
      <c r="A64" s="10" t="s">
        <v>13</v>
      </c>
      <c r="B64" s="12">
        <v>32.0</v>
      </c>
      <c r="C64" s="13" t="s">
        <v>50</v>
      </c>
      <c r="D64" s="12">
        <v>58.0</v>
      </c>
      <c r="E64" s="13" t="s">
        <v>157</v>
      </c>
      <c r="F64" s="12" t="s">
        <v>20</v>
      </c>
      <c r="G64" s="14" t="s">
        <v>158</v>
      </c>
      <c r="H64" s="13"/>
    </row>
    <row r="65" ht="15.75" customHeight="1">
      <c r="A65" s="10" t="s">
        <v>13</v>
      </c>
      <c r="B65" s="12">
        <v>33.0</v>
      </c>
      <c r="C65" s="13" t="s">
        <v>50</v>
      </c>
      <c r="D65" s="12">
        <v>59.0</v>
      </c>
      <c r="E65" s="13" t="s">
        <v>159</v>
      </c>
      <c r="F65" s="12" t="s">
        <v>20</v>
      </c>
      <c r="G65" s="14" t="s">
        <v>160</v>
      </c>
      <c r="H65" s="13"/>
    </row>
    <row r="66" ht="15.75" customHeight="1">
      <c r="A66" s="10" t="s">
        <v>13</v>
      </c>
      <c r="B66" s="12">
        <v>33.0</v>
      </c>
      <c r="C66" s="13" t="s">
        <v>50</v>
      </c>
      <c r="D66" s="12">
        <v>60.0</v>
      </c>
      <c r="E66" s="13" t="s">
        <v>161</v>
      </c>
      <c r="F66" s="12" t="s">
        <v>20</v>
      </c>
      <c r="G66" s="14" t="s">
        <v>162</v>
      </c>
      <c r="H66" s="13"/>
    </row>
    <row r="67" ht="15.75" customHeight="1">
      <c r="A67" s="10" t="s">
        <v>13</v>
      </c>
      <c r="B67" s="12">
        <v>34.0</v>
      </c>
      <c r="C67" s="13" t="s">
        <v>50</v>
      </c>
      <c r="D67" s="12">
        <v>61.0</v>
      </c>
      <c r="E67" s="13" t="s">
        <v>163</v>
      </c>
      <c r="F67" s="12" t="s">
        <v>20</v>
      </c>
      <c r="G67" s="14" t="s">
        <v>164</v>
      </c>
      <c r="H67" s="13"/>
    </row>
    <row r="68" ht="15.75" customHeight="1">
      <c r="A68" s="10" t="s">
        <v>13</v>
      </c>
      <c r="B68" s="12">
        <v>34.0</v>
      </c>
      <c r="C68" s="13" t="s">
        <v>50</v>
      </c>
      <c r="D68" s="12">
        <v>62.0</v>
      </c>
      <c r="E68" s="13" t="s">
        <v>165</v>
      </c>
      <c r="F68" s="12" t="s">
        <v>20</v>
      </c>
      <c r="G68" s="14" t="s">
        <v>166</v>
      </c>
      <c r="H68" s="13"/>
    </row>
    <row r="69" ht="15.75" customHeight="1">
      <c r="A69" s="19" t="s">
        <v>13</v>
      </c>
      <c r="B69" s="20">
        <v>35.0</v>
      </c>
      <c r="C69" s="21" t="s">
        <v>54</v>
      </c>
      <c r="D69" s="20"/>
      <c r="E69" s="22" t="s">
        <v>167</v>
      </c>
      <c r="F69" s="20"/>
      <c r="G69" s="21"/>
      <c r="H69" s="21"/>
    </row>
    <row r="70" ht="15.75" customHeight="1">
      <c r="A70" s="10" t="s">
        <v>13</v>
      </c>
      <c r="B70" s="12">
        <v>36.0</v>
      </c>
      <c r="C70" s="13" t="s">
        <v>50</v>
      </c>
      <c r="D70" s="12">
        <v>63.0</v>
      </c>
      <c r="E70" s="13" t="s">
        <v>168</v>
      </c>
      <c r="F70" s="12" t="s">
        <v>20</v>
      </c>
      <c r="G70" s="14" t="s">
        <v>169</v>
      </c>
      <c r="H70" s="13"/>
    </row>
    <row r="71" ht="15.75" customHeight="1">
      <c r="A71" s="10" t="s">
        <v>13</v>
      </c>
      <c r="B71" s="12">
        <v>36.0</v>
      </c>
      <c r="C71" s="13" t="s">
        <v>50</v>
      </c>
      <c r="D71" s="12">
        <v>64.0</v>
      </c>
      <c r="E71" s="13" t="s">
        <v>170</v>
      </c>
      <c r="F71" s="12" t="s">
        <v>60</v>
      </c>
      <c r="G71" s="14" t="s">
        <v>171</v>
      </c>
      <c r="H71" s="13"/>
    </row>
    <row r="72" ht="15.75" customHeight="1">
      <c r="A72" s="10" t="s">
        <v>13</v>
      </c>
      <c r="B72" s="12">
        <v>37.0</v>
      </c>
      <c r="C72" s="13" t="s">
        <v>50</v>
      </c>
      <c r="D72" s="12">
        <v>65.0</v>
      </c>
      <c r="E72" s="13" t="s">
        <v>172</v>
      </c>
      <c r="F72" s="12" t="s">
        <v>60</v>
      </c>
      <c r="G72" s="14" t="s">
        <v>173</v>
      </c>
      <c r="H72" s="13"/>
    </row>
    <row r="73" ht="15.75" customHeight="1">
      <c r="A73" s="10" t="s">
        <v>13</v>
      </c>
      <c r="B73" s="12">
        <v>38.0</v>
      </c>
      <c r="C73" s="13" t="s">
        <v>53</v>
      </c>
      <c r="D73" s="12">
        <v>66.0</v>
      </c>
      <c r="E73" s="13" t="s">
        <v>174</v>
      </c>
      <c r="F73" s="12" t="s">
        <v>17</v>
      </c>
      <c r="G73" s="14" t="s">
        <v>175</v>
      </c>
      <c r="H73" s="13"/>
    </row>
    <row r="74" ht="15.75" customHeight="1">
      <c r="A74" s="10" t="s">
        <v>13</v>
      </c>
      <c r="B74" s="12">
        <v>38.0</v>
      </c>
      <c r="C74" s="13" t="s">
        <v>53</v>
      </c>
      <c r="D74" s="12">
        <v>67.0</v>
      </c>
      <c r="E74" s="13" t="s">
        <v>176</v>
      </c>
      <c r="F74" s="12" t="s">
        <v>17</v>
      </c>
      <c r="G74" s="14" t="s">
        <v>177</v>
      </c>
      <c r="H74" s="13"/>
    </row>
    <row r="75" ht="15.75" customHeight="1">
      <c r="A75" s="10" t="s">
        <v>13</v>
      </c>
      <c r="B75" s="12">
        <v>39.0</v>
      </c>
      <c r="C75" s="13" t="s">
        <v>53</v>
      </c>
      <c r="D75" s="12">
        <v>68.0</v>
      </c>
      <c r="E75" s="13" t="s">
        <v>178</v>
      </c>
      <c r="F75" s="12" t="s">
        <v>20</v>
      </c>
      <c r="G75" s="14" t="s">
        <v>179</v>
      </c>
      <c r="H75" s="13"/>
    </row>
    <row r="76" ht="15.75" customHeight="1">
      <c r="A76" s="10" t="s">
        <v>13</v>
      </c>
      <c r="B76" s="12">
        <v>39.0</v>
      </c>
      <c r="C76" s="13" t="s">
        <v>53</v>
      </c>
      <c r="D76" s="12">
        <v>69.0</v>
      </c>
      <c r="E76" s="13" t="s">
        <v>180</v>
      </c>
      <c r="F76" s="12" t="s">
        <v>20</v>
      </c>
      <c r="G76" s="14" t="s">
        <v>181</v>
      </c>
      <c r="H76" s="13"/>
    </row>
    <row r="77" ht="15.75" customHeight="1">
      <c r="A77" s="10" t="s">
        <v>13</v>
      </c>
      <c r="B77" s="12">
        <v>40.0</v>
      </c>
      <c r="C77" s="13" t="s">
        <v>53</v>
      </c>
      <c r="D77" s="12">
        <v>70.0</v>
      </c>
      <c r="E77" s="13" t="s">
        <v>182</v>
      </c>
      <c r="F77" s="12" t="s">
        <v>20</v>
      </c>
      <c r="G77" s="14" t="s">
        <v>183</v>
      </c>
      <c r="H77" s="13"/>
    </row>
    <row r="78" ht="15.75" customHeight="1">
      <c r="A78" s="10" t="s">
        <v>13</v>
      </c>
      <c r="B78" s="12">
        <v>40.0</v>
      </c>
      <c r="C78" s="13" t="s">
        <v>53</v>
      </c>
      <c r="D78" s="12">
        <v>71.0</v>
      </c>
      <c r="E78" s="13" t="s">
        <v>184</v>
      </c>
      <c r="F78" s="12" t="s">
        <v>20</v>
      </c>
      <c r="G78" s="14" t="s">
        <v>185</v>
      </c>
      <c r="H78" s="13"/>
    </row>
    <row r="79" ht="15.75" customHeight="1">
      <c r="A79" s="10" t="s">
        <v>13</v>
      </c>
      <c r="B79" s="12">
        <v>41.0</v>
      </c>
      <c r="C79" s="13" t="s">
        <v>53</v>
      </c>
      <c r="D79" s="12">
        <v>72.0</v>
      </c>
      <c r="E79" s="13" t="s">
        <v>186</v>
      </c>
      <c r="F79" s="12" t="s">
        <v>60</v>
      </c>
      <c r="G79" s="14" t="s">
        <v>187</v>
      </c>
      <c r="H79" s="13"/>
    </row>
    <row r="80" ht="15.75" customHeight="1">
      <c r="A80" s="19" t="s">
        <v>13</v>
      </c>
      <c r="B80" s="20">
        <v>42.0</v>
      </c>
      <c r="C80" s="21" t="s">
        <v>54</v>
      </c>
      <c r="D80" s="20"/>
      <c r="E80" s="22" t="s">
        <v>188</v>
      </c>
      <c r="F80" s="20"/>
      <c r="G80" s="21"/>
      <c r="H80" s="21"/>
    </row>
    <row r="81" ht="15.75" customHeight="1">
      <c r="A81" s="10" t="s">
        <v>13</v>
      </c>
      <c r="B81" s="12">
        <v>43.0</v>
      </c>
      <c r="C81" s="13" t="s">
        <v>58</v>
      </c>
      <c r="D81" s="12">
        <v>73.0</v>
      </c>
      <c r="E81" s="13" t="s">
        <v>189</v>
      </c>
      <c r="F81" s="12" t="s">
        <v>20</v>
      </c>
      <c r="G81" s="14" t="s">
        <v>190</v>
      </c>
      <c r="H81" s="13"/>
    </row>
    <row r="82" ht="15.75" customHeight="1">
      <c r="A82" s="10" t="s">
        <v>13</v>
      </c>
      <c r="B82" s="12">
        <v>43.0</v>
      </c>
      <c r="C82" s="13" t="s">
        <v>58</v>
      </c>
      <c r="D82" s="12">
        <v>74.0</v>
      </c>
      <c r="E82" s="13" t="s">
        <v>191</v>
      </c>
      <c r="F82" s="12" t="s">
        <v>20</v>
      </c>
      <c r="G82" s="14" t="s">
        <v>192</v>
      </c>
      <c r="H82" s="13"/>
    </row>
    <row r="83" ht="15.75" customHeight="1">
      <c r="A83" s="10" t="s">
        <v>13</v>
      </c>
      <c r="B83" s="12">
        <v>44.0</v>
      </c>
      <c r="C83" s="13" t="s">
        <v>58</v>
      </c>
      <c r="D83" s="12">
        <v>75.0</v>
      </c>
      <c r="E83" s="13" t="s">
        <v>193</v>
      </c>
      <c r="F83" s="12" t="s">
        <v>20</v>
      </c>
      <c r="G83" s="14" t="s">
        <v>194</v>
      </c>
      <c r="H83" s="13"/>
    </row>
    <row r="84" ht="15.75" customHeight="1">
      <c r="A84" s="10" t="s">
        <v>13</v>
      </c>
      <c r="B84" s="12">
        <v>44.0</v>
      </c>
      <c r="C84" s="13" t="s">
        <v>58</v>
      </c>
      <c r="D84" s="12">
        <v>76.0</v>
      </c>
      <c r="E84" s="13" t="s">
        <v>195</v>
      </c>
      <c r="F84" s="12" t="s">
        <v>20</v>
      </c>
      <c r="G84" s="14" t="s">
        <v>196</v>
      </c>
      <c r="H84" s="13"/>
    </row>
    <row r="85" ht="15.75" customHeight="1">
      <c r="A85" s="10" t="s">
        <v>13</v>
      </c>
      <c r="B85" s="12">
        <v>45.0</v>
      </c>
      <c r="C85" s="13" t="s">
        <v>58</v>
      </c>
      <c r="D85" s="12">
        <v>77.0</v>
      </c>
      <c r="E85" s="13" t="s">
        <v>197</v>
      </c>
      <c r="F85" s="12" t="s">
        <v>20</v>
      </c>
      <c r="G85" s="14" t="s">
        <v>198</v>
      </c>
      <c r="H85" s="13"/>
    </row>
    <row r="86" ht="15.75" customHeight="1">
      <c r="A86" s="10" t="s">
        <v>13</v>
      </c>
      <c r="B86" s="12">
        <v>45.0</v>
      </c>
      <c r="C86" s="13" t="s">
        <v>58</v>
      </c>
      <c r="D86" s="12">
        <v>78.0</v>
      </c>
      <c r="E86" s="13" t="s">
        <v>199</v>
      </c>
      <c r="F86" s="12" t="s">
        <v>20</v>
      </c>
      <c r="G86" s="14" t="s">
        <v>200</v>
      </c>
      <c r="H86" s="13"/>
    </row>
    <row r="87" ht="15.75" customHeight="1">
      <c r="A87" s="10" t="s">
        <v>13</v>
      </c>
      <c r="B87" s="12">
        <v>46.0</v>
      </c>
      <c r="C87" s="13" t="s">
        <v>58</v>
      </c>
      <c r="D87" s="12">
        <v>79.0</v>
      </c>
      <c r="E87" s="13" t="s">
        <v>201</v>
      </c>
      <c r="F87" s="12" t="s">
        <v>20</v>
      </c>
      <c r="G87" s="14" t="s">
        <v>202</v>
      </c>
      <c r="H87" s="13"/>
    </row>
    <row r="88" ht="15.75" customHeight="1">
      <c r="A88" s="10" t="s">
        <v>13</v>
      </c>
      <c r="B88" s="12">
        <v>46.0</v>
      </c>
      <c r="C88" s="13" t="s">
        <v>58</v>
      </c>
      <c r="D88" s="12">
        <v>80.0</v>
      </c>
      <c r="E88" s="13" t="s">
        <v>203</v>
      </c>
      <c r="F88" s="12" t="s">
        <v>20</v>
      </c>
      <c r="G88" s="14" t="s">
        <v>204</v>
      </c>
      <c r="H88" s="13"/>
    </row>
    <row r="89" ht="15.75" customHeight="1">
      <c r="A89" s="10" t="s">
        <v>13</v>
      </c>
      <c r="B89" s="12">
        <v>47.0</v>
      </c>
      <c r="C89" s="13" t="s">
        <v>58</v>
      </c>
      <c r="D89" s="12">
        <v>81.0</v>
      </c>
      <c r="E89" s="13" t="s">
        <v>205</v>
      </c>
      <c r="F89" s="12" t="s">
        <v>60</v>
      </c>
      <c r="G89" s="14" t="s">
        <v>206</v>
      </c>
      <c r="H89" s="13"/>
    </row>
    <row r="90" ht="15.75" customHeight="1">
      <c r="A90" s="10" t="s">
        <v>13</v>
      </c>
      <c r="B90" s="12">
        <v>48.0</v>
      </c>
      <c r="C90" s="13" t="s">
        <v>62</v>
      </c>
      <c r="D90" s="12">
        <v>82.0</v>
      </c>
      <c r="E90" s="13" t="s">
        <v>207</v>
      </c>
      <c r="F90" s="12" t="s">
        <v>20</v>
      </c>
      <c r="G90" s="14" t="s">
        <v>208</v>
      </c>
      <c r="H90" s="13"/>
    </row>
    <row r="91" ht="15.75" customHeight="1">
      <c r="A91" s="10" t="s">
        <v>13</v>
      </c>
      <c r="B91" s="12">
        <v>48.0</v>
      </c>
      <c r="C91" s="13" t="s">
        <v>62</v>
      </c>
      <c r="D91" s="12">
        <v>83.0</v>
      </c>
      <c r="E91" s="13" t="s">
        <v>209</v>
      </c>
      <c r="F91" s="12" t="s">
        <v>20</v>
      </c>
      <c r="G91" s="14" t="s">
        <v>210</v>
      </c>
      <c r="H91" s="13"/>
    </row>
    <row r="92" ht="15.75" customHeight="1">
      <c r="A92" s="19" t="s">
        <v>13</v>
      </c>
      <c r="B92" s="20">
        <v>49.0</v>
      </c>
      <c r="C92" s="21" t="s">
        <v>54</v>
      </c>
      <c r="D92" s="20"/>
      <c r="E92" s="22" t="s">
        <v>211</v>
      </c>
      <c r="F92" s="20"/>
      <c r="G92" s="21"/>
      <c r="H92" s="21"/>
    </row>
    <row r="93" ht="15.75" customHeight="1">
      <c r="A93" s="10" t="s">
        <v>13</v>
      </c>
      <c r="B93" s="12">
        <v>50.0</v>
      </c>
      <c r="C93" s="13" t="s">
        <v>62</v>
      </c>
      <c r="D93" s="12">
        <v>84.0</v>
      </c>
      <c r="E93" s="13" t="s">
        <v>212</v>
      </c>
      <c r="F93" s="12" t="s">
        <v>60</v>
      </c>
      <c r="G93" s="14" t="s">
        <v>213</v>
      </c>
      <c r="H93" s="13"/>
    </row>
    <row r="94" ht="15.75" customHeight="1">
      <c r="A94" s="10" t="s">
        <v>13</v>
      </c>
      <c r="B94" s="12">
        <v>50.0</v>
      </c>
      <c r="C94" s="13" t="s">
        <v>65</v>
      </c>
      <c r="D94" s="12">
        <v>85.0</v>
      </c>
      <c r="E94" s="13" t="s">
        <v>214</v>
      </c>
      <c r="F94" s="12" t="s">
        <v>20</v>
      </c>
      <c r="G94" s="14" t="s">
        <v>215</v>
      </c>
      <c r="H94" s="13"/>
    </row>
    <row r="95" ht="15.75" customHeight="1">
      <c r="A95" s="10" t="s">
        <v>13</v>
      </c>
      <c r="B95" s="12">
        <v>51.0</v>
      </c>
      <c r="C95" s="13" t="s">
        <v>65</v>
      </c>
      <c r="D95" s="12">
        <v>86.0</v>
      </c>
      <c r="E95" s="13" t="s">
        <v>216</v>
      </c>
      <c r="F95" s="12" t="s">
        <v>20</v>
      </c>
      <c r="G95" s="14" t="s">
        <v>217</v>
      </c>
      <c r="H95" s="13"/>
    </row>
    <row r="96" ht="15.75" customHeight="1">
      <c r="A96" s="10" t="s">
        <v>13</v>
      </c>
      <c r="B96" s="12">
        <v>51.0</v>
      </c>
      <c r="C96" s="13" t="s">
        <v>65</v>
      </c>
      <c r="D96" s="12">
        <v>87.0</v>
      </c>
      <c r="E96" s="13" t="s">
        <v>218</v>
      </c>
      <c r="F96" s="12" t="s">
        <v>20</v>
      </c>
      <c r="G96" s="14" t="s">
        <v>219</v>
      </c>
      <c r="H96" s="13"/>
    </row>
    <row r="97" ht="15.75" customHeight="1">
      <c r="A97" s="10" t="s">
        <v>13</v>
      </c>
      <c r="B97" s="12">
        <v>52.0</v>
      </c>
      <c r="C97" s="13" t="s">
        <v>65</v>
      </c>
      <c r="D97" s="12">
        <v>88.0</v>
      </c>
      <c r="E97" s="13" t="s">
        <v>220</v>
      </c>
      <c r="F97" s="12" t="s">
        <v>20</v>
      </c>
      <c r="G97" s="14" t="s">
        <v>221</v>
      </c>
      <c r="H97" s="13"/>
    </row>
    <row r="98" ht="15.75" customHeight="1">
      <c r="A98" s="10" t="s">
        <v>13</v>
      </c>
      <c r="B98" s="12">
        <v>52.0</v>
      </c>
      <c r="C98" s="13" t="s">
        <v>65</v>
      </c>
      <c r="D98" s="12">
        <v>89.0</v>
      </c>
      <c r="E98" s="13" t="s">
        <v>222</v>
      </c>
      <c r="F98" s="12" t="s">
        <v>20</v>
      </c>
      <c r="G98" s="14" t="s">
        <v>223</v>
      </c>
      <c r="H98" s="13"/>
    </row>
    <row r="99" ht="15.75" customHeight="1">
      <c r="A99" s="10" t="s">
        <v>13</v>
      </c>
      <c r="B99" s="12">
        <v>53.0</v>
      </c>
      <c r="C99" s="13" t="s">
        <v>65</v>
      </c>
      <c r="D99" s="12">
        <v>90.0</v>
      </c>
      <c r="E99" s="13" t="s">
        <v>224</v>
      </c>
      <c r="F99" s="12" t="s">
        <v>20</v>
      </c>
      <c r="G99" s="14" t="s">
        <v>225</v>
      </c>
      <c r="H99" s="13"/>
    </row>
    <row r="100" ht="15.75" customHeight="1">
      <c r="A100" s="10" t="s">
        <v>13</v>
      </c>
      <c r="B100" s="12">
        <v>53.0</v>
      </c>
      <c r="C100" s="13" t="s">
        <v>65</v>
      </c>
      <c r="D100" s="12">
        <v>91.0</v>
      </c>
      <c r="E100" s="13" t="s">
        <v>226</v>
      </c>
      <c r="F100" s="12" t="s">
        <v>20</v>
      </c>
      <c r="G100" s="14" t="s">
        <v>227</v>
      </c>
      <c r="H100" s="13"/>
    </row>
    <row r="101" ht="15.75" customHeight="1">
      <c r="A101" s="10" t="s">
        <v>13</v>
      </c>
      <c r="B101" s="12">
        <v>54.0</v>
      </c>
      <c r="C101" s="13" t="s">
        <v>65</v>
      </c>
      <c r="D101" s="12">
        <v>92.0</v>
      </c>
      <c r="E101" s="13" t="s">
        <v>228</v>
      </c>
      <c r="F101" s="12" t="s">
        <v>20</v>
      </c>
      <c r="G101" s="14" t="s">
        <v>229</v>
      </c>
      <c r="H101" s="13"/>
    </row>
    <row r="102" ht="15.75" customHeight="1">
      <c r="A102" s="10" t="s">
        <v>13</v>
      </c>
      <c r="B102" s="12">
        <v>54.0</v>
      </c>
      <c r="C102" s="13" t="s">
        <v>65</v>
      </c>
      <c r="D102" s="12">
        <v>93.0</v>
      </c>
      <c r="E102" s="13" t="s">
        <v>230</v>
      </c>
      <c r="F102" s="12" t="s">
        <v>20</v>
      </c>
      <c r="G102" s="14" t="s">
        <v>231</v>
      </c>
      <c r="H102" s="13"/>
    </row>
    <row r="103" ht="15.75" customHeight="1">
      <c r="A103" s="10" t="s">
        <v>13</v>
      </c>
      <c r="B103" s="12">
        <v>55.0</v>
      </c>
      <c r="C103" s="13" t="s">
        <v>65</v>
      </c>
      <c r="D103" s="12">
        <v>94.0</v>
      </c>
      <c r="E103" s="13" t="s">
        <v>232</v>
      </c>
      <c r="F103" s="12" t="s">
        <v>20</v>
      </c>
      <c r="G103" s="14" t="s">
        <v>233</v>
      </c>
      <c r="H103" s="13"/>
    </row>
    <row r="104" ht="15.75" customHeight="1">
      <c r="A104" s="10" t="s">
        <v>13</v>
      </c>
      <c r="B104" s="12">
        <v>55.0</v>
      </c>
      <c r="C104" s="13" t="s">
        <v>65</v>
      </c>
      <c r="D104" s="12">
        <v>95.0</v>
      </c>
      <c r="E104" s="13" t="s">
        <v>234</v>
      </c>
      <c r="F104" s="12" t="s">
        <v>60</v>
      </c>
      <c r="G104" s="14" t="s">
        <v>235</v>
      </c>
      <c r="H104" s="13"/>
    </row>
    <row r="105" ht="15.75" customHeight="1">
      <c r="A105" s="19" t="s">
        <v>13</v>
      </c>
      <c r="B105" s="20">
        <v>56.0</v>
      </c>
      <c r="C105" s="21" t="s">
        <v>54</v>
      </c>
      <c r="D105" s="20"/>
      <c r="E105" s="22" t="s">
        <v>236</v>
      </c>
      <c r="F105" s="20"/>
      <c r="G105" s="21"/>
      <c r="H105" s="21"/>
    </row>
    <row r="106" ht="15.75" customHeight="1">
      <c r="A106" s="10" t="s">
        <v>13</v>
      </c>
      <c r="B106" s="12">
        <v>57.0</v>
      </c>
      <c r="C106" s="13" t="s">
        <v>65</v>
      </c>
      <c r="D106" s="12">
        <v>96.0</v>
      </c>
      <c r="E106" s="13" t="s">
        <v>237</v>
      </c>
      <c r="F106" s="12" t="s">
        <v>20</v>
      </c>
      <c r="G106" s="14" t="s">
        <v>238</v>
      </c>
      <c r="H106" s="13"/>
    </row>
    <row r="107" ht="15.75" customHeight="1">
      <c r="A107" s="10" t="s">
        <v>13</v>
      </c>
      <c r="B107" s="12">
        <v>57.0</v>
      </c>
      <c r="C107" s="13" t="s">
        <v>65</v>
      </c>
      <c r="D107" s="12">
        <v>97.0</v>
      </c>
      <c r="E107" s="13" t="s">
        <v>239</v>
      </c>
      <c r="F107" s="12" t="s">
        <v>20</v>
      </c>
      <c r="G107" s="14" t="s">
        <v>240</v>
      </c>
      <c r="H107" s="13"/>
    </row>
    <row r="108" ht="15.75" customHeight="1">
      <c r="A108" s="10" t="s">
        <v>13</v>
      </c>
      <c r="B108" s="12">
        <v>58.0</v>
      </c>
      <c r="C108" s="13" t="s">
        <v>65</v>
      </c>
      <c r="D108" s="12">
        <v>98.0</v>
      </c>
      <c r="E108" s="13" t="s">
        <v>241</v>
      </c>
      <c r="F108" s="12" t="s">
        <v>20</v>
      </c>
      <c r="G108" s="14" t="s">
        <v>242</v>
      </c>
      <c r="H108" s="13"/>
    </row>
    <row r="109" ht="15.75" customHeight="1">
      <c r="A109" s="10" t="s">
        <v>13</v>
      </c>
      <c r="B109" s="12">
        <v>58.0</v>
      </c>
      <c r="C109" s="13" t="s">
        <v>65</v>
      </c>
      <c r="D109" s="12">
        <v>99.0</v>
      </c>
      <c r="E109" s="13" t="s">
        <v>243</v>
      </c>
      <c r="F109" s="12" t="s">
        <v>60</v>
      </c>
      <c r="G109" s="14" t="s">
        <v>244</v>
      </c>
      <c r="H109" s="13"/>
    </row>
    <row r="110" ht="15.75" customHeight="1">
      <c r="A110" s="10" t="s">
        <v>13</v>
      </c>
      <c r="B110" s="12">
        <v>59.0</v>
      </c>
      <c r="C110" s="13" t="s">
        <v>65</v>
      </c>
      <c r="D110" s="12">
        <v>100.0</v>
      </c>
      <c r="E110" s="13" t="s">
        <v>245</v>
      </c>
      <c r="F110" s="12" t="s">
        <v>60</v>
      </c>
      <c r="G110" s="14" t="s">
        <v>246</v>
      </c>
      <c r="H110" s="13"/>
    </row>
    <row r="111" ht="15.75" customHeight="1">
      <c r="A111" s="10" t="s">
        <v>13</v>
      </c>
      <c r="B111" s="12">
        <v>60.0</v>
      </c>
      <c r="C111" s="13" t="s">
        <v>66</v>
      </c>
      <c r="D111" s="12">
        <v>101.0</v>
      </c>
      <c r="E111" s="13" t="s">
        <v>247</v>
      </c>
      <c r="F111" s="12" t="s">
        <v>17</v>
      </c>
      <c r="G111" s="14" t="s">
        <v>248</v>
      </c>
      <c r="H111" s="13"/>
    </row>
    <row r="112" ht="15.75" customHeight="1">
      <c r="A112" s="10" t="s">
        <v>13</v>
      </c>
      <c r="B112" s="12">
        <v>60.0</v>
      </c>
      <c r="C112" s="13" t="s">
        <v>66</v>
      </c>
      <c r="D112" s="12">
        <v>102.0</v>
      </c>
      <c r="E112" s="13" t="s">
        <v>249</v>
      </c>
      <c r="F112" s="12" t="s">
        <v>17</v>
      </c>
      <c r="G112" s="14" t="s">
        <v>250</v>
      </c>
      <c r="H112" s="13"/>
    </row>
    <row r="113" ht="15.75" customHeight="1">
      <c r="A113" s="10" t="s">
        <v>13</v>
      </c>
      <c r="B113" s="12">
        <v>61.0</v>
      </c>
      <c r="C113" s="13" t="s">
        <v>66</v>
      </c>
      <c r="D113" s="12">
        <v>103.0</v>
      </c>
      <c r="E113" s="13" t="s">
        <v>251</v>
      </c>
      <c r="F113" s="12" t="s">
        <v>20</v>
      </c>
      <c r="G113" s="14" t="s">
        <v>252</v>
      </c>
      <c r="H113" s="13"/>
    </row>
    <row r="114" ht="15.75" customHeight="1">
      <c r="A114" s="10" t="s">
        <v>13</v>
      </c>
      <c r="B114" s="12">
        <v>61.0</v>
      </c>
      <c r="C114" s="13" t="s">
        <v>66</v>
      </c>
      <c r="D114" s="12">
        <v>104.0</v>
      </c>
      <c r="E114" s="13" t="s">
        <v>253</v>
      </c>
      <c r="F114" s="12" t="s">
        <v>20</v>
      </c>
      <c r="G114" s="14" t="s">
        <v>254</v>
      </c>
      <c r="H114" s="13"/>
    </row>
    <row r="115" ht="15.75" customHeight="1">
      <c r="A115" s="10" t="s">
        <v>13</v>
      </c>
      <c r="B115" s="12">
        <v>62.0</v>
      </c>
      <c r="C115" s="13" t="s">
        <v>66</v>
      </c>
      <c r="D115" s="12">
        <v>105.0</v>
      </c>
      <c r="E115" s="13" t="s">
        <v>255</v>
      </c>
      <c r="F115" s="12" t="s">
        <v>20</v>
      </c>
      <c r="G115" s="14" t="s">
        <v>256</v>
      </c>
      <c r="H115" s="13"/>
    </row>
    <row r="116" ht="15.75" customHeight="1">
      <c r="A116" s="10" t="s">
        <v>13</v>
      </c>
      <c r="B116" s="12">
        <v>62.0</v>
      </c>
      <c r="C116" s="13" t="s">
        <v>66</v>
      </c>
      <c r="D116" s="12">
        <v>106.0</v>
      </c>
      <c r="E116" s="13" t="s">
        <v>257</v>
      </c>
      <c r="F116" s="12" t="s">
        <v>20</v>
      </c>
      <c r="G116" s="14" t="s">
        <v>258</v>
      </c>
      <c r="H116" s="13"/>
    </row>
    <row r="117" ht="15.75" customHeight="1">
      <c r="A117" s="19" t="s">
        <v>13</v>
      </c>
      <c r="B117" s="20">
        <v>63.0</v>
      </c>
      <c r="C117" s="21" t="s">
        <v>54</v>
      </c>
      <c r="D117" s="20"/>
      <c r="E117" s="22" t="s">
        <v>259</v>
      </c>
      <c r="F117" s="20"/>
      <c r="G117" s="21"/>
      <c r="H117" s="21"/>
    </row>
    <row r="118" ht="15.75" customHeight="1">
      <c r="A118" s="10" t="s">
        <v>13</v>
      </c>
      <c r="B118" s="12">
        <v>64.0</v>
      </c>
      <c r="C118" s="13" t="s">
        <v>66</v>
      </c>
      <c r="D118" s="12">
        <v>107.0</v>
      </c>
      <c r="E118" s="13" t="s">
        <v>260</v>
      </c>
      <c r="F118" s="12" t="s">
        <v>20</v>
      </c>
      <c r="G118" s="14" t="s">
        <v>261</v>
      </c>
      <c r="H118" s="13"/>
    </row>
    <row r="119" ht="15.75" customHeight="1">
      <c r="A119" s="10" t="s">
        <v>13</v>
      </c>
      <c r="B119" s="12">
        <v>64.0</v>
      </c>
      <c r="C119" s="13" t="s">
        <v>66</v>
      </c>
      <c r="D119" s="12">
        <v>108.0</v>
      </c>
      <c r="E119" s="13" t="s">
        <v>262</v>
      </c>
      <c r="F119" s="12" t="s">
        <v>20</v>
      </c>
      <c r="G119" s="14" t="s">
        <v>263</v>
      </c>
      <c r="H119" s="13"/>
    </row>
    <row r="120" ht="15.75" customHeight="1">
      <c r="A120" s="10" t="s">
        <v>13</v>
      </c>
      <c r="B120" s="12">
        <v>65.0</v>
      </c>
      <c r="C120" s="13" t="s">
        <v>66</v>
      </c>
      <c r="D120" s="12">
        <v>109.0</v>
      </c>
      <c r="E120" s="13" t="s">
        <v>264</v>
      </c>
      <c r="F120" s="12" t="s">
        <v>20</v>
      </c>
      <c r="G120" s="14" t="s">
        <v>265</v>
      </c>
      <c r="H120" s="13"/>
    </row>
    <row r="121" ht="15.75" customHeight="1">
      <c r="A121" s="10" t="s">
        <v>13</v>
      </c>
      <c r="B121" s="12">
        <v>65.0</v>
      </c>
      <c r="C121" s="13" t="s">
        <v>66</v>
      </c>
      <c r="D121" s="12">
        <v>110.0</v>
      </c>
      <c r="E121" s="13" t="s">
        <v>266</v>
      </c>
      <c r="F121" s="12" t="s">
        <v>20</v>
      </c>
      <c r="G121" s="14" t="s">
        <v>267</v>
      </c>
      <c r="H121" s="13"/>
    </row>
    <row r="122" ht="15.75" customHeight="1">
      <c r="A122" s="10" t="s">
        <v>13</v>
      </c>
      <c r="B122" s="12">
        <v>66.0</v>
      </c>
      <c r="C122" s="13" t="s">
        <v>66</v>
      </c>
      <c r="D122" s="12">
        <v>111.0</v>
      </c>
      <c r="E122" s="13" t="s">
        <v>268</v>
      </c>
      <c r="F122" s="12" t="s">
        <v>20</v>
      </c>
      <c r="G122" s="14" t="s">
        <v>269</v>
      </c>
      <c r="H122" s="13"/>
    </row>
    <row r="123" ht="15.75" customHeight="1">
      <c r="A123" s="10" t="s">
        <v>13</v>
      </c>
      <c r="B123" s="12">
        <v>66.0</v>
      </c>
      <c r="C123" s="13" t="s">
        <v>66</v>
      </c>
      <c r="D123" s="12">
        <v>112.0</v>
      </c>
      <c r="E123" s="13" t="s">
        <v>270</v>
      </c>
      <c r="F123" s="12" t="s">
        <v>20</v>
      </c>
      <c r="G123" s="14" t="s">
        <v>271</v>
      </c>
      <c r="H123" s="13"/>
    </row>
    <row r="124" ht="15.75" customHeight="1">
      <c r="A124" s="10" t="s">
        <v>13</v>
      </c>
      <c r="B124" s="12">
        <v>67.0</v>
      </c>
      <c r="C124" s="13" t="s">
        <v>69</v>
      </c>
      <c r="D124" s="12">
        <v>113.0</v>
      </c>
      <c r="E124" s="13" t="s">
        <v>272</v>
      </c>
      <c r="F124" s="12" t="s">
        <v>20</v>
      </c>
      <c r="G124" s="14" t="s">
        <v>273</v>
      </c>
      <c r="H124" s="13"/>
    </row>
    <row r="125" ht="15.75" customHeight="1">
      <c r="A125" s="10" t="s">
        <v>13</v>
      </c>
      <c r="B125" s="12">
        <v>67.0</v>
      </c>
      <c r="C125" s="13" t="s">
        <v>69</v>
      </c>
      <c r="D125" s="12">
        <v>114.0</v>
      </c>
      <c r="E125" s="13" t="s">
        <v>274</v>
      </c>
      <c r="F125" s="12" t="s">
        <v>20</v>
      </c>
      <c r="G125" s="14" t="s">
        <v>275</v>
      </c>
      <c r="H125" s="13"/>
    </row>
    <row r="126" ht="15.75" customHeight="1">
      <c r="A126" s="10" t="s">
        <v>13</v>
      </c>
      <c r="B126" s="12">
        <v>68.0</v>
      </c>
      <c r="C126" s="13" t="s">
        <v>69</v>
      </c>
      <c r="D126" s="12">
        <v>115.0</v>
      </c>
      <c r="E126" s="13" t="s">
        <v>276</v>
      </c>
      <c r="F126" s="12" t="s">
        <v>20</v>
      </c>
      <c r="G126" s="14" t="s">
        <v>277</v>
      </c>
      <c r="H126" s="13"/>
    </row>
    <row r="127" ht="15.75" customHeight="1">
      <c r="A127" s="10" t="s">
        <v>13</v>
      </c>
      <c r="B127" s="12">
        <v>68.0</v>
      </c>
      <c r="C127" s="13" t="s">
        <v>69</v>
      </c>
      <c r="D127" s="12">
        <v>116.0</v>
      </c>
      <c r="E127" s="13" t="s">
        <v>278</v>
      </c>
      <c r="F127" s="12" t="s">
        <v>20</v>
      </c>
      <c r="G127" s="14" t="s">
        <v>279</v>
      </c>
      <c r="H127" s="13"/>
    </row>
    <row r="128" ht="15.75" customHeight="1">
      <c r="A128" s="10" t="s">
        <v>13</v>
      </c>
      <c r="B128" s="12">
        <v>69.0</v>
      </c>
      <c r="C128" s="13" t="s">
        <v>69</v>
      </c>
      <c r="D128" s="12">
        <v>117.0</v>
      </c>
      <c r="E128" s="13" t="s">
        <v>280</v>
      </c>
      <c r="F128" s="12" t="s">
        <v>20</v>
      </c>
      <c r="G128" s="14" t="s">
        <v>281</v>
      </c>
      <c r="H128" s="13"/>
    </row>
    <row r="129" ht="15.75" customHeight="1">
      <c r="A129" s="10" t="s">
        <v>13</v>
      </c>
      <c r="B129" s="12">
        <v>69.0</v>
      </c>
      <c r="C129" s="13" t="s">
        <v>69</v>
      </c>
      <c r="D129" s="12">
        <v>118.0</v>
      </c>
      <c r="E129" s="13" t="s">
        <v>282</v>
      </c>
      <c r="F129" s="12" t="s">
        <v>20</v>
      </c>
      <c r="G129" s="14" t="s">
        <v>283</v>
      </c>
      <c r="H129" s="13"/>
    </row>
    <row r="130" ht="15.75" customHeight="1">
      <c r="A130" s="19" t="s">
        <v>13</v>
      </c>
      <c r="B130" s="20">
        <v>70.0</v>
      </c>
      <c r="C130" s="21" t="s">
        <v>54</v>
      </c>
      <c r="D130" s="20"/>
      <c r="E130" s="22" t="s">
        <v>284</v>
      </c>
      <c r="F130" s="20"/>
      <c r="G130" s="21"/>
      <c r="H130" s="21"/>
    </row>
    <row r="131" ht="15.75" customHeight="1">
      <c r="A131" s="10" t="s">
        <v>13</v>
      </c>
      <c r="B131" s="12">
        <v>71.0</v>
      </c>
      <c r="C131" s="13" t="s">
        <v>69</v>
      </c>
      <c r="D131" s="12">
        <v>119.0</v>
      </c>
      <c r="E131" s="13" t="s">
        <v>285</v>
      </c>
      <c r="F131" s="12" t="s">
        <v>20</v>
      </c>
      <c r="G131" s="14" t="s">
        <v>286</v>
      </c>
      <c r="H131" s="13"/>
    </row>
    <row r="132" ht="15.75" customHeight="1">
      <c r="A132" s="10" t="s">
        <v>13</v>
      </c>
      <c r="B132" s="12">
        <v>71.0</v>
      </c>
      <c r="C132" s="13" t="s">
        <v>69</v>
      </c>
      <c r="D132" s="12">
        <v>120.0</v>
      </c>
      <c r="E132" s="13" t="s">
        <v>287</v>
      </c>
      <c r="F132" s="12" t="s">
        <v>60</v>
      </c>
      <c r="G132" s="14" t="s">
        <v>288</v>
      </c>
      <c r="H132" s="13"/>
    </row>
    <row r="133" ht="15.75" customHeight="1">
      <c r="A133" s="10" t="s">
        <v>13</v>
      </c>
      <c r="B133" s="12">
        <v>72.0</v>
      </c>
      <c r="C133" s="13" t="s">
        <v>69</v>
      </c>
      <c r="D133" s="12">
        <v>121.0</v>
      </c>
      <c r="E133" s="13" t="s">
        <v>289</v>
      </c>
      <c r="F133" s="12" t="s">
        <v>60</v>
      </c>
      <c r="G133" s="14" t="s">
        <v>290</v>
      </c>
      <c r="H133" s="13"/>
    </row>
    <row r="134" ht="15.75" customHeight="1">
      <c r="A134" s="10" t="s">
        <v>13</v>
      </c>
      <c r="B134" s="12">
        <v>72.0</v>
      </c>
      <c r="C134" s="13" t="s">
        <v>69</v>
      </c>
      <c r="D134" s="12">
        <v>122.0</v>
      </c>
      <c r="E134" s="13" t="s">
        <v>291</v>
      </c>
      <c r="F134" s="12" t="s">
        <v>60</v>
      </c>
      <c r="G134" s="14" t="s">
        <v>292</v>
      </c>
      <c r="H134" s="13"/>
    </row>
    <row r="135" ht="15.75" customHeight="1">
      <c r="A135" s="10" t="s">
        <v>13</v>
      </c>
      <c r="B135" s="12">
        <v>73.0</v>
      </c>
      <c r="C135" s="13" t="s">
        <v>69</v>
      </c>
      <c r="D135" s="12">
        <v>123.0</v>
      </c>
      <c r="E135" s="13" t="s">
        <v>293</v>
      </c>
      <c r="F135" s="12" t="s">
        <v>60</v>
      </c>
      <c r="G135" s="14" t="s">
        <v>294</v>
      </c>
      <c r="H135" s="13"/>
    </row>
    <row r="136" ht="15.75" customHeight="1">
      <c r="A136" s="10" t="s">
        <v>13</v>
      </c>
      <c r="B136" s="12">
        <v>74.0</v>
      </c>
      <c r="C136" s="13" t="s">
        <v>72</v>
      </c>
      <c r="D136" s="12">
        <v>124.0</v>
      </c>
      <c r="E136" s="13" t="s">
        <v>295</v>
      </c>
      <c r="F136" s="12" t="s">
        <v>20</v>
      </c>
      <c r="G136" s="14" t="s">
        <v>296</v>
      </c>
      <c r="H136" s="13"/>
    </row>
    <row r="137" ht="15.75" customHeight="1">
      <c r="A137" s="10" t="s">
        <v>13</v>
      </c>
      <c r="B137" s="12">
        <v>74.0</v>
      </c>
      <c r="C137" s="13" t="s">
        <v>72</v>
      </c>
      <c r="D137" s="12">
        <v>125.0</v>
      </c>
      <c r="E137" s="13" t="s">
        <v>297</v>
      </c>
      <c r="F137" s="12" t="s">
        <v>20</v>
      </c>
      <c r="G137" s="14" t="s">
        <v>298</v>
      </c>
      <c r="H137" s="13"/>
    </row>
    <row r="138" ht="15.75" customHeight="1">
      <c r="A138" s="10" t="s">
        <v>13</v>
      </c>
      <c r="B138" s="12">
        <v>75.0</v>
      </c>
      <c r="C138" s="13" t="s">
        <v>72</v>
      </c>
      <c r="D138" s="12">
        <v>126.0</v>
      </c>
      <c r="E138" s="13" t="s">
        <v>299</v>
      </c>
      <c r="F138" s="12" t="s">
        <v>20</v>
      </c>
      <c r="G138" s="14" t="s">
        <v>300</v>
      </c>
      <c r="H138" s="13"/>
    </row>
    <row r="139" ht="15.75" customHeight="1">
      <c r="A139" s="10" t="s">
        <v>13</v>
      </c>
      <c r="B139" s="12">
        <v>75.0</v>
      </c>
      <c r="C139" s="13" t="s">
        <v>72</v>
      </c>
      <c r="D139" s="12">
        <v>127.0</v>
      </c>
      <c r="E139" s="13" t="s">
        <v>301</v>
      </c>
      <c r="F139" s="12" t="s">
        <v>20</v>
      </c>
      <c r="G139" s="14" t="s">
        <v>302</v>
      </c>
      <c r="H139" s="13"/>
    </row>
    <row r="140" ht="15.75" customHeight="1">
      <c r="A140" s="10" t="s">
        <v>13</v>
      </c>
      <c r="B140" s="12">
        <v>76.0</v>
      </c>
      <c r="C140" s="13" t="s">
        <v>72</v>
      </c>
      <c r="D140" s="12">
        <v>128.0</v>
      </c>
      <c r="E140" s="13" t="s">
        <v>303</v>
      </c>
      <c r="F140" s="12" t="s">
        <v>20</v>
      </c>
      <c r="G140" s="14" t="s">
        <v>304</v>
      </c>
      <c r="H140" s="13"/>
    </row>
    <row r="141" ht="15.75" customHeight="1">
      <c r="A141" s="10" t="s">
        <v>13</v>
      </c>
      <c r="B141" s="12">
        <v>76.0</v>
      </c>
      <c r="C141" s="13" t="s">
        <v>72</v>
      </c>
      <c r="D141" s="12">
        <v>129.0</v>
      </c>
      <c r="E141" s="13" t="s">
        <v>305</v>
      </c>
      <c r="F141" s="12" t="s">
        <v>20</v>
      </c>
      <c r="G141" s="14" t="s">
        <v>306</v>
      </c>
      <c r="H141" s="13"/>
    </row>
    <row r="142" ht="15.75" customHeight="1">
      <c r="A142" s="19" t="s">
        <v>13</v>
      </c>
      <c r="B142" s="20">
        <v>77.0</v>
      </c>
      <c r="C142" s="21" t="s">
        <v>54</v>
      </c>
      <c r="D142" s="20"/>
      <c r="E142" s="22" t="s">
        <v>307</v>
      </c>
      <c r="F142" s="20"/>
      <c r="G142" s="21"/>
      <c r="H142" s="21"/>
    </row>
    <row r="143" ht="15.75" customHeight="1">
      <c r="A143" s="10" t="s">
        <v>13</v>
      </c>
      <c r="B143" s="12">
        <v>78.0</v>
      </c>
      <c r="C143" s="13" t="s">
        <v>72</v>
      </c>
      <c r="D143" s="12">
        <v>130.0</v>
      </c>
      <c r="E143" s="13" t="s">
        <v>308</v>
      </c>
      <c r="F143" s="12" t="s">
        <v>20</v>
      </c>
      <c r="G143" s="14" t="s">
        <v>309</v>
      </c>
      <c r="H143" s="13"/>
    </row>
    <row r="144" ht="15.75" customHeight="1">
      <c r="A144" s="10" t="s">
        <v>13</v>
      </c>
      <c r="B144" s="12">
        <v>78.0</v>
      </c>
      <c r="C144" s="13" t="s">
        <v>72</v>
      </c>
      <c r="D144" s="12">
        <v>131.0</v>
      </c>
      <c r="E144" s="13" t="s">
        <v>310</v>
      </c>
      <c r="F144" s="12" t="s">
        <v>20</v>
      </c>
      <c r="G144" s="14" t="s">
        <v>311</v>
      </c>
      <c r="H144" s="13"/>
    </row>
    <row r="145" ht="15.75" customHeight="1">
      <c r="A145" s="10" t="s">
        <v>13</v>
      </c>
      <c r="B145" s="12">
        <v>79.0</v>
      </c>
      <c r="C145" s="13" t="s">
        <v>75</v>
      </c>
      <c r="D145" s="12">
        <v>132.0</v>
      </c>
      <c r="E145" s="13" t="s">
        <v>312</v>
      </c>
      <c r="F145" s="12" t="s">
        <v>20</v>
      </c>
      <c r="G145" s="14" t="s">
        <v>313</v>
      </c>
      <c r="H145" s="13"/>
    </row>
    <row r="146" ht="15.75" customHeight="1">
      <c r="A146" s="10" t="s">
        <v>13</v>
      </c>
      <c r="B146" s="12">
        <v>79.0</v>
      </c>
      <c r="C146" s="13" t="s">
        <v>75</v>
      </c>
      <c r="D146" s="12">
        <v>133.0</v>
      </c>
      <c r="E146" s="13" t="s">
        <v>314</v>
      </c>
      <c r="F146" s="12" t="s">
        <v>20</v>
      </c>
      <c r="G146" s="14" t="s">
        <v>315</v>
      </c>
      <c r="H146" s="13"/>
    </row>
    <row r="147" ht="15.75" customHeight="1">
      <c r="A147" s="10" t="s">
        <v>13</v>
      </c>
      <c r="B147" s="12">
        <v>80.0</v>
      </c>
      <c r="C147" s="13" t="s">
        <v>75</v>
      </c>
      <c r="D147" s="12">
        <v>134.0</v>
      </c>
      <c r="E147" s="13" t="s">
        <v>316</v>
      </c>
      <c r="F147" s="12" t="s">
        <v>20</v>
      </c>
      <c r="G147" s="14" t="s">
        <v>317</v>
      </c>
      <c r="H147" s="13"/>
    </row>
    <row r="148" ht="15.75" customHeight="1">
      <c r="A148" s="10" t="s">
        <v>13</v>
      </c>
      <c r="B148" s="12">
        <v>80.0</v>
      </c>
      <c r="C148" s="13" t="s">
        <v>75</v>
      </c>
      <c r="D148" s="12">
        <v>135.0</v>
      </c>
      <c r="E148" s="13" t="s">
        <v>318</v>
      </c>
      <c r="F148" s="12" t="s">
        <v>60</v>
      </c>
      <c r="G148" s="14" t="s">
        <v>319</v>
      </c>
      <c r="H148" s="13"/>
    </row>
    <row r="149" ht="15.75" customHeight="1">
      <c r="A149" s="10" t="s">
        <v>13</v>
      </c>
      <c r="B149" s="12">
        <v>81.0</v>
      </c>
      <c r="C149" s="13" t="s">
        <v>78</v>
      </c>
      <c r="D149" s="12">
        <v>136.0</v>
      </c>
      <c r="E149" s="13" t="s">
        <v>320</v>
      </c>
      <c r="F149" s="12" t="s">
        <v>20</v>
      </c>
      <c r="G149" s="14" t="s">
        <v>321</v>
      </c>
      <c r="H149" s="13"/>
    </row>
    <row r="150" ht="15.75" customHeight="1">
      <c r="A150" s="10" t="s">
        <v>13</v>
      </c>
      <c r="B150" s="12">
        <v>81.0</v>
      </c>
      <c r="C150" s="13" t="s">
        <v>78</v>
      </c>
      <c r="D150" s="12">
        <v>137.0</v>
      </c>
      <c r="E150" s="13" t="s">
        <v>322</v>
      </c>
      <c r="F150" s="12" t="s">
        <v>20</v>
      </c>
      <c r="G150" s="14" t="s">
        <v>323</v>
      </c>
      <c r="H150" s="13"/>
    </row>
    <row r="151" ht="15.75" customHeight="1">
      <c r="A151" s="10" t="s">
        <v>13</v>
      </c>
      <c r="B151" s="12">
        <v>82.0</v>
      </c>
      <c r="C151" s="13" t="s">
        <v>78</v>
      </c>
      <c r="D151" s="12">
        <v>138.0</v>
      </c>
      <c r="E151" s="13" t="s">
        <v>324</v>
      </c>
      <c r="F151" s="12" t="s">
        <v>20</v>
      </c>
      <c r="G151" s="14" t="s">
        <v>325</v>
      </c>
      <c r="H151" s="13"/>
    </row>
    <row r="152" ht="15.75" customHeight="1">
      <c r="A152" s="10" t="s">
        <v>13</v>
      </c>
      <c r="B152" s="12">
        <v>82.0</v>
      </c>
      <c r="C152" s="13" t="s">
        <v>78</v>
      </c>
      <c r="D152" s="12">
        <v>139.0</v>
      </c>
      <c r="E152" s="13" t="s">
        <v>326</v>
      </c>
      <c r="F152" s="12" t="s">
        <v>17</v>
      </c>
      <c r="G152" s="14" t="s">
        <v>327</v>
      </c>
      <c r="H152" s="13"/>
    </row>
    <row r="153" ht="15.75" customHeight="1">
      <c r="A153" s="10" t="s">
        <v>13</v>
      </c>
      <c r="B153" s="12">
        <v>83.0</v>
      </c>
      <c r="C153" s="13" t="s">
        <v>78</v>
      </c>
      <c r="D153" s="12">
        <v>140.0</v>
      </c>
      <c r="E153" s="13" t="s">
        <v>328</v>
      </c>
      <c r="F153" s="12" t="s">
        <v>17</v>
      </c>
      <c r="G153" s="14" t="s">
        <v>329</v>
      </c>
      <c r="H153" s="13"/>
    </row>
    <row r="154" ht="15.75" customHeight="1">
      <c r="A154" s="10" t="s">
        <v>13</v>
      </c>
      <c r="B154" s="12">
        <v>83.0</v>
      </c>
      <c r="C154" s="13" t="s">
        <v>78</v>
      </c>
      <c r="D154" s="12">
        <v>141.0</v>
      </c>
      <c r="E154" s="13" t="s">
        <v>330</v>
      </c>
      <c r="F154" s="12" t="s">
        <v>20</v>
      </c>
      <c r="G154" s="14" t="s">
        <v>331</v>
      </c>
      <c r="H154" s="13"/>
    </row>
    <row r="155" ht="15.75" customHeight="1">
      <c r="A155" s="19" t="s">
        <v>13</v>
      </c>
      <c r="B155" s="20">
        <v>84.0</v>
      </c>
      <c r="C155" s="21" t="s">
        <v>54</v>
      </c>
      <c r="D155" s="20"/>
      <c r="E155" s="22" t="s">
        <v>332</v>
      </c>
      <c r="F155" s="20"/>
      <c r="G155" s="21"/>
      <c r="H155" s="21"/>
    </row>
    <row r="156" ht="15.75" customHeight="1">
      <c r="A156" s="10" t="s">
        <v>13</v>
      </c>
      <c r="B156" s="12">
        <v>85.0</v>
      </c>
      <c r="C156" s="13" t="s">
        <v>78</v>
      </c>
      <c r="D156" s="12">
        <v>142.0</v>
      </c>
      <c r="E156" s="13" t="s">
        <v>333</v>
      </c>
      <c r="F156" s="12" t="s">
        <v>20</v>
      </c>
      <c r="G156" s="14" t="s">
        <v>334</v>
      </c>
      <c r="H156" s="13"/>
    </row>
    <row r="157" ht="15.75" customHeight="1">
      <c r="A157" s="10" t="s">
        <v>13</v>
      </c>
      <c r="B157" s="12">
        <v>85.0</v>
      </c>
      <c r="C157" s="13" t="s">
        <v>78</v>
      </c>
      <c r="D157" s="12">
        <v>143.0</v>
      </c>
      <c r="E157" s="13" t="s">
        <v>335</v>
      </c>
      <c r="F157" s="12" t="s">
        <v>20</v>
      </c>
      <c r="G157" s="14" t="s">
        <v>336</v>
      </c>
      <c r="H157" s="13"/>
    </row>
    <row r="158" ht="15.75" customHeight="1">
      <c r="A158" s="10" t="s">
        <v>13</v>
      </c>
      <c r="B158" s="12">
        <v>86.0</v>
      </c>
      <c r="C158" s="13" t="s">
        <v>81</v>
      </c>
      <c r="D158" s="12">
        <v>144.0</v>
      </c>
      <c r="E158" s="13" t="s">
        <v>337</v>
      </c>
      <c r="F158" s="12" t="s">
        <v>17</v>
      </c>
      <c r="G158" s="14" t="s">
        <v>338</v>
      </c>
      <c r="H158" s="13"/>
    </row>
    <row r="159" ht="15.75" customHeight="1">
      <c r="A159" s="10" t="s">
        <v>13</v>
      </c>
      <c r="B159" s="12">
        <v>86.0</v>
      </c>
      <c r="C159" s="13" t="s">
        <v>81</v>
      </c>
      <c r="D159" s="12">
        <v>145.0</v>
      </c>
      <c r="E159" s="13" t="s">
        <v>339</v>
      </c>
      <c r="F159" s="12" t="s">
        <v>17</v>
      </c>
      <c r="G159" s="14" t="s">
        <v>340</v>
      </c>
      <c r="H159" s="13"/>
    </row>
    <row r="160" ht="15.75" customHeight="1">
      <c r="A160" s="10" t="s">
        <v>13</v>
      </c>
      <c r="B160" s="12">
        <v>87.0</v>
      </c>
      <c r="C160" s="13" t="s">
        <v>81</v>
      </c>
      <c r="D160" s="12">
        <v>146.0</v>
      </c>
      <c r="E160" s="13" t="s">
        <v>341</v>
      </c>
      <c r="F160" s="12" t="s">
        <v>17</v>
      </c>
      <c r="G160" s="14" t="s">
        <v>342</v>
      </c>
      <c r="H160" s="13"/>
    </row>
    <row r="161" ht="15.75" customHeight="1">
      <c r="A161" s="10" t="s">
        <v>13</v>
      </c>
      <c r="B161" s="12">
        <v>87.0</v>
      </c>
      <c r="C161" s="13" t="s">
        <v>81</v>
      </c>
      <c r="D161" s="12">
        <v>147.0</v>
      </c>
      <c r="E161" s="13" t="s">
        <v>343</v>
      </c>
      <c r="F161" s="12" t="s">
        <v>17</v>
      </c>
      <c r="G161" s="14" t="s">
        <v>344</v>
      </c>
      <c r="H161" s="13"/>
    </row>
    <row r="162" ht="15.75" customHeight="1">
      <c r="A162" s="10" t="s">
        <v>13</v>
      </c>
      <c r="B162" s="12">
        <v>88.0</v>
      </c>
      <c r="C162" s="13" t="s">
        <v>81</v>
      </c>
      <c r="D162" s="12">
        <v>148.0</v>
      </c>
      <c r="E162" s="13" t="s">
        <v>345</v>
      </c>
      <c r="F162" s="12" t="s">
        <v>17</v>
      </c>
      <c r="G162" s="14" t="s">
        <v>346</v>
      </c>
      <c r="H162" s="13"/>
    </row>
    <row r="163" ht="15.75" customHeight="1">
      <c r="A163" s="10" t="s">
        <v>13</v>
      </c>
      <c r="B163" s="12">
        <v>88.0</v>
      </c>
      <c r="C163" s="13" t="s">
        <v>81</v>
      </c>
      <c r="D163" s="12">
        <v>149.0</v>
      </c>
      <c r="E163" s="13" t="s">
        <v>347</v>
      </c>
      <c r="F163" s="12" t="s">
        <v>20</v>
      </c>
      <c r="G163" s="14" t="s">
        <v>348</v>
      </c>
      <c r="H163" s="13"/>
    </row>
    <row r="164" ht="15.75" customHeight="1">
      <c r="A164" s="10" t="s">
        <v>13</v>
      </c>
      <c r="B164" s="12">
        <v>89.0</v>
      </c>
      <c r="C164" s="13" t="s">
        <v>81</v>
      </c>
      <c r="D164" s="12">
        <v>150.0</v>
      </c>
      <c r="E164" s="13" t="s">
        <v>349</v>
      </c>
      <c r="F164" s="12" t="s">
        <v>20</v>
      </c>
      <c r="G164" s="14" t="s">
        <v>350</v>
      </c>
      <c r="H164" s="13"/>
    </row>
    <row r="165" ht="15.75" customHeight="1">
      <c r="A165" s="19" t="s">
        <v>13</v>
      </c>
      <c r="B165" s="20">
        <v>90.0</v>
      </c>
      <c r="C165" s="21" t="s">
        <v>351</v>
      </c>
      <c r="D165" s="20"/>
      <c r="E165" s="22" t="s">
        <v>352</v>
      </c>
      <c r="F165" s="20"/>
      <c r="G165" s="21"/>
      <c r="H165" s="21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H$165"/>
  <conditionalFormatting sqref="C2">
    <cfRule type="expression" dxfId="0" priority="1">
      <formula>$C2="Easy"</formula>
    </cfRule>
  </conditionalFormatting>
  <conditionalFormatting sqref="C2">
    <cfRule type="expression" dxfId="1" priority="2">
      <formula>$C2="Medium"</formula>
    </cfRule>
  </conditionalFormatting>
  <conditionalFormatting sqref="C2">
    <cfRule type="expression" dxfId="2" priority="3">
      <formula>$C2="Hard"</formula>
    </cfRule>
  </conditionalFormatting>
  <conditionalFormatting sqref="A2:H165">
    <cfRule type="expression" dxfId="3" priority="4">
      <formula>$A2="☑"</formula>
    </cfRule>
  </conditionalFormatting>
  <conditionalFormatting sqref="F3:F165">
    <cfRule type="expression" dxfId="0" priority="5">
      <formula>$F3="Easy"</formula>
    </cfRule>
  </conditionalFormatting>
  <conditionalFormatting sqref="F3:F165">
    <cfRule type="expression" dxfId="1" priority="6">
      <formula>$F3="Medium"</formula>
    </cfRule>
  </conditionalFormatting>
  <conditionalFormatting sqref="F3:F165">
    <cfRule type="expression" dxfId="2" priority="7">
      <formula>$F3="Hard"</formula>
    </cfRule>
  </conditionalFormatting>
  <dataValidations>
    <dataValidation type="list" allowBlank="1" sqref="A2:A165">
      <formula1>"☐,☑"</formula1>
    </dataValidation>
  </dataValidations>
  <hyperlinks>
    <hyperlink r:id="rId1" ref="B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30"/>
    <hyperlink r:id="rId28" ref="G31"/>
    <hyperlink r:id="rId29" ref="G32"/>
    <hyperlink r:id="rId30" ref="G33"/>
    <hyperlink r:id="rId31" ref="G34"/>
    <hyperlink r:id="rId32" ref="G35"/>
    <hyperlink r:id="rId33" ref="G36"/>
    <hyperlink r:id="rId34" ref="G37"/>
    <hyperlink r:id="rId35" ref="G38"/>
    <hyperlink r:id="rId36" ref="G39"/>
    <hyperlink r:id="rId37" ref="G40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  <hyperlink r:id="rId49" ref="G53"/>
    <hyperlink r:id="rId50" ref="G54"/>
    <hyperlink r:id="rId51" ref="G56"/>
    <hyperlink r:id="rId52" ref="G57"/>
    <hyperlink r:id="rId53" ref="G58"/>
    <hyperlink r:id="rId54" ref="G59"/>
    <hyperlink r:id="rId55" ref="G60"/>
    <hyperlink r:id="rId56" ref="G61"/>
    <hyperlink r:id="rId57" ref="G62"/>
    <hyperlink r:id="rId58" ref="G63"/>
    <hyperlink r:id="rId59" ref="G64"/>
    <hyperlink r:id="rId60" ref="G65"/>
    <hyperlink r:id="rId61" ref="G66"/>
    <hyperlink r:id="rId62" ref="G67"/>
    <hyperlink r:id="rId63" ref="G68"/>
    <hyperlink r:id="rId64" ref="G70"/>
    <hyperlink r:id="rId65" ref="G71"/>
    <hyperlink r:id="rId66" ref="G72"/>
    <hyperlink r:id="rId67" ref="G73"/>
    <hyperlink r:id="rId68" ref="G74"/>
    <hyperlink r:id="rId69" ref="G75"/>
    <hyperlink r:id="rId70" ref="G76"/>
    <hyperlink r:id="rId71" ref="G77"/>
    <hyperlink r:id="rId72" ref="G78"/>
    <hyperlink r:id="rId73" ref="G79"/>
    <hyperlink r:id="rId74" ref="G81"/>
    <hyperlink r:id="rId75" ref="G82"/>
    <hyperlink r:id="rId76" ref="G83"/>
    <hyperlink r:id="rId77" ref="G84"/>
    <hyperlink r:id="rId78" ref="G85"/>
    <hyperlink r:id="rId79" ref="G86"/>
    <hyperlink r:id="rId80" ref="G87"/>
    <hyperlink r:id="rId81" ref="G88"/>
    <hyperlink r:id="rId82" ref="G89"/>
    <hyperlink r:id="rId83" ref="G90"/>
    <hyperlink r:id="rId84" ref="G91"/>
    <hyperlink r:id="rId85" ref="G93"/>
    <hyperlink r:id="rId86" ref="G94"/>
    <hyperlink r:id="rId87" ref="G95"/>
    <hyperlink r:id="rId88" ref="G96"/>
    <hyperlink r:id="rId89" ref="G97"/>
    <hyperlink r:id="rId90" ref="G98"/>
    <hyperlink r:id="rId91" ref="G99"/>
    <hyperlink r:id="rId92" ref="G100"/>
    <hyperlink r:id="rId93" ref="G101"/>
    <hyperlink r:id="rId94" ref="G102"/>
    <hyperlink r:id="rId95" ref="G103"/>
    <hyperlink r:id="rId96" ref="G104"/>
    <hyperlink r:id="rId97" ref="G106"/>
    <hyperlink r:id="rId98" ref="G107"/>
    <hyperlink r:id="rId99" ref="G108"/>
    <hyperlink r:id="rId100" ref="G109"/>
    <hyperlink r:id="rId101" ref="G110"/>
    <hyperlink r:id="rId102" ref="G111"/>
    <hyperlink r:id="rId103" ref="G112"/>
    <hyperlink r:id="rId104" ref="G113"/>
    <hyperlink r:id="rId105" ref="G114"/>
    <hyperlink r:id="rId106" ref="G115"/>
    <hyperlink r:id="rId107" ref="G116"/>
    <hyperlink r:id="rId108" ref="G118"/>
    <hyperlink r:id="rId109" ref="G119"/>
    <hyperlink r:id="rId110" ref="G120"/>
    <hyperlink r:id="rId111" ref="G121"/>
    <hyperlink r:id="rId112" ref="G122"/>
    <hyperlink r:id="rId113" ref="G123"/>
    <hyperlink r:id="rId114" ref="G124"/>
    <hyperlink r:id="rId115" ref="G125"/>
    <hyperlink r:id="rId116" ref="G126"/>
    <hyperlink r:id="rId117" ref="G127"/>
    <hyperlink r:id="rId118" ref="G128"/>
    <hyperlink r:id="rId119" ref="G129"/>
    <hyperlink r:id="rId120" ref="G131"/>
    <hyperlink r:id="rId121" ref="G132"/>
    <hyperlink r:id="rId122" ref="G133"/>
    <hyperlink r:id="rId123" ref="G134"/>
    <hyperlink r:id="rId124" ref="G135"/>
    <hyperlink r:id="rId125" ref="G136"/>
    <hyperlink r:id="rId126" ref="G137"/>
    <hyperlink r:id="rId127" ref="G138"/>
    <hyperlink r:id="rId128" ref="G139"/>
    <hyperlink r:id="rId129" ref="G140"/>
    <hyperlink r:id="rId130" ref="G141"/>
    <hyperlink r:id="rId131" ref="G143"/>
    <hyperlink r:id="rId132" ref="G144"/>
    <hyperlink r:id="rId133" ref="G145"/>
    <hyperlink r:id="rId134" ref="G146"/>
    <hyperlink r:id="rId135" ref="G147"/>
    <hyperlink r:id="rId136" ref="G148"/>
    <hyperlink r:id="rId137" ref="G149"/>
    <hyperlink r:id="rId138" ref="G150"/>
    <hyperlink r:id="rId139" ref="G151"/>
    <hyperlink r:id="rId140" ref="G152"/>
    <hyperlink r:id="rId141" ref="G153"/>
    <hyperlink r:id="rId142" ref="G154"/>
    <hyperlink r:id="rId143" ref="G156"/>
    <hyperlink r:id="rId144" ref="G157"/>
    <hyperlink r:id="rId145" ref="G158"/>
    <hyperlink r:id="rId146" ref="G159"/>
    <hyperlink r:id="rId147" ref="G160"/>
    <hyperlink r:id="rId148" ref="G161"/>
    <hyperlink r:id="rId149" ref="G162"/>
    <hyperlink r:id="rId150" ref="G163"/>
    <hyperlink r:id="rId151" ref="G164"/>
  </hyperlinks>
  <printOptions/>
  <pageMargins bottom="1.0" footer="0.0" header="0.0" left="0.75" right="0.75" top="1.0"/>
  <pageSetup paperSize="9" orientation="portrait"/>
  <drawing r:id="rId1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4" width="13.0"/>
    <col customWidth="1" min="5" max="26" width="8.71"/>
  </cols>
  <sheetData>
    <row r="1">
      <c r="A1" s="1" t="s">
        <v>0</v>
      </c>
    </row>
    <row r="3">
      <c r="A3" s="3" t="s">
        <v>2</v>
      </c>
      <c r="B3" s="5">
        <f>COUNTIFS(Roadmap!$A$3:$A$165,"☑",Roadmap!$D$3:$D$165,"&gt;0")</f>
        <v>0</v>
      </c>
    </row>
    <row r="4">
      <c r="A4" s="3" t="s">
        <v>11</v>
      </c>
      <c r="B4" s="5">
        <f>COUNTIF(Roadmap!$D$3:$D$165,"&gt;0")</f>
        <v>150</v>
      </c>
    </row>
    <row r="5">
      <c r="A5" s="3" t="s">
        <v>12</v>
      </c>
      <c r="B5" s="11">
        <f>IF(B4=0,0,B3/B4)</f>
        <v>0</v>
      </c>
    </row>
    <row r="6">
      <c r="A6" s="3" t="s">
        <v>14</v>
      </c>
      <c r="B6" s="5">
        <f>SUMPRODUCT(--(COUNTIFS(Roadmap!$B$3:$B$165,ROW($1:$90),Roadmap!$A$3:$A$165,"☑")=COUNTIF(Roadmap!$B$3:$B$165,ROW($1:$90))))</f>
        <v>0</v>
      </c>
    </row>
    <row r="8">
      <c r="A8" s="15" t="s">
        <v>4</v>
      </c>
      <c r="B8" s="15" t="s">
        <v>22</v>
      </c>
      <c r="C8" s="15" t="s">
        <v>23</v>
      </c>
      <c r="D8" s="15" t="s">
        <v>12</v>
      </c>
    </row>
    <row r="9">
      <c r="A9" s="16" t="s">
        <v>15</v>
      </c>
      <c r="B9" s="17">
        <f>COUNTIFS(Roadmap!$C$3:$C$165,A9,Roadmap!$A$3:$A$165,"☑",Roadmap!$D$3:$D$165,"&gt;0")</f>
        <v>0</v>
      </c>
      <c r="C9" s="17">
        <f>COUNTIFS(Roadmap!$C$3:$C$165,A9,Roadmap!$D$3:$D$165,"&gt;0")</f>
        <v>3</v>
      </c>
      <c r="D9" s="18">
        <f t="shared" ref="D9:D26" si="1">IF(C9=0,0,B9/C9)</f>
        <v>0</v>
      </c>
    </row>
    <row r="10">
      <c r="A10" s="16" t="s">
        <v>26</v>
      </c>
      <c r="B10" s="17">
        <f>COUNTIFS(Roadmap!$C$3:$C$165,A10,Roadmap!$A$3:$A$165,"☑",Roadmap!$D$3:$D$165,"&gt;0")</f>
        <v>0</v>
      </c>
      <c r="C10" s="17">
        <f>COUNTIFS(Roadmap!$C$3:$C$165,A10,Roadmap!$D$3:$D$165,"&gt;0")</f>
        <v>6</v>
      </c>
      <c r="D10" s="18">
        <f t="shared" si="1"/>
        <v>0</v>
      </c>
    </row>
    <row r="11">
      <c r="A11" s="16" t="s">
        <v>33</v>
      </c>
      <c r="B11" s="17">
        <f>COUNTIFS(Roadmap!$C$3:$C$165,A11,Roadmap!$A$3:$A$165,"☑",Roadmap!$D$3:$D$165,"&gt;0")</f>
        <v>0</v>
      </c>
      <c r="C11" s="17">
        <f>COUNTIFS(Roadmap!$C$3:$C$165,A11,Roadmap!$D$3:$D$165,"&gt;0")</f>
        <v>6</v>
      </c>
      <c r="D11" s="18">
        <f t="shared" si="1"/>
        <v>0</v>
      </c>
    </row>
    <row r="12">
      <c r="A12" s="16" t="s">
        <v>36</v>
      </c>
      <c r="B12" s="17">
        <f>COUNTIFS(Roadmap!$C$3:$C$165,A12,Roadmap!$A$3:$A$165,"☑",Roadmap!$D$3:$D$165,"&gt;0")</f>
        <v>0</v>
      </c>
      <c r="C12" s="17">
        <f>COUNTIFS(Roadmap!$C$3:$C$165,A12,Roadmap!$D$3:$D$165,"&gt;0")</f>
        <v>7</v>
      </c>
      <c r="D12" s="18">
        <f t="shared" si="1"/>
        <v>0</v>
      </c>
    </row>
    <row r="13">
      <c r="A13" s="16" t="s">
        <v>41</v>
      </c>
      <c r="B13" s="17">
        <f>COUNTIFS(Roadmap!$C$3:$C$165,A13,Roadmap!$A$3:$A$165,"☑",Roadmap!$D$3:$D$165,"&gt;0")</f>
        <v>0</v>
      </c>
      <c r="C13" s="17">
        <f>COUNTIFS(Roadmap!$C$3:$C$165,A13,Roadmap!$D$3:$D$165,"&gt;0")</f>
        <v>8</v>
      </c>
      <c r="D13" s="18">
        <f t="shared" si="1"/>
        <v>0</v>
      </c>
    </row>
    <row r="14">
      <c r="A14" s="16" t="s">
        <v>44</v>
      </c>
      <c r="B14" s="17">
        <f>COUNTIFS(Roadmap!$C$3:$C$165,A14,Roadmap!$A$3:$A$165,"☑",Roadmap!$D$3:$D$165,"&gt;0")</f>
        <v>0</v>
      </c>
      <c r="C14" s="17">
        <f>COUNTIFS(Roadmap!$C$3:$C$165,A14,Roadmap!$D$3:$D$165,"&gt;0")</f>
        <v>8</v>
      </c>
      <c r="D14" s="18">
        <f t="shared" si="1"/>
        <v>0</v>
      </c>
    </row>
    <row r="15">
      <c r="A15" s="16" t="s">
        <v>47</v>
      </c>
      <c r="B15" s="17">
        <f>COUNTIFS(Roadmap!$C$3:$C$165,A15,Roadmap!$A$3:$A$165,"☑",Roadmap!$D$3:$D$165,"&gt;0")</f>
        <v>0</v>
      </c>
      <c r="C15" s="17">
        <f>COUNTIFS(Roadmap!$C$3:$C$165,A15,Roadmap!$D$3:$D$165,"&gt;0")</f>
        <v>12</v>
      </c>
      <c r="D15" s="18">
        <f t="shared" si="1"/>
        <v>0</v>
      </c>
    </row>
    <row r="16">
      <c r="A16" s="16" t="s">
        <v>50</v>
      </c>
      <c r="B16" s="17">
        <f>COUNTIFS(Roadmap!$C$3:$C$165,A16,Roadmap!$A$3:$A$165,"☑",Roadmap!$D$3:$D$165,"&gt;0")</f>
        <v>0</v>
      </c>
      <c r="C16" s="17">
        <f>COUNTIFS(Roadmap!$C$3:$C$165,A16,Roadmap!$D$3:$D$165,"&gt;0")</f>
        <v>15</v>
      </c>
      <c r="D16" s="18">
        <f t="shared" si="1"/>
        <v>0</v>
      </c>
    </row>
    <row r="17">
      <c r="A17" s="16" t="s">
        <v>53</v>
      </c>
      <c r="B17" s="17">
        <f>COUNTIFS(Roadmap!$C$3:$C$165,A17,Roadmap!$A$3:$A$165,"☑",Roadmap!$D$3:$D$165,"&gt;0")</f>
        <v>0</v>
      </c>
      <c r="C17" s="17">
        <f>COUNTIFS(Roadmap!$C$3:$C$165,A17,Roadmap!$D$3:$D$165,"&gt;0")</f>
        <v>7</v>
      </c>
      <c r="D17" s="18">
        <f t="shared" si="1"/>
        <v>0</v>
      </c>
    </row>
    <row r="18">
      <c r="A18" s="16" t="s">
        <v>58</v>
      </c>
      <c r="B18" s="17">
        <f>COUNTIFS(Roadmap!$C$3:$C$165,A18,Roadmap!$A$3:$A$165,"☑",Roadmap!$D$3:$D$165,"&gt;0")</f>
        <v>0</v>
      </c>
      <c r="C18" s="17">
        <f>COUNTIFS(Roadmap!$C$3:$C$165,A18,Roadmap!$D$3:$D$165,"&gt;0")</f>
        <v>9</v>
      </c>
      <c r="D18" s="18">
        <f t="shared" si="1"/>
        <v>0</v>
      </c>
    </row>
    <row r="19">
      <c r="A19" s="16" t="s">
        <v>62</v>
      </c>
      <c r="B19" s="17">
        <f>COUNTIFS(Roadmap!$C$3:$C$165,A19,Roadmap!$A$3:$A$165,"☑",Roadmap!$D$3:$D$165,"&gt;0")</f>
        <v>0</v>
      </c>
      <c r="C19" s="17">
        <f>COUNTIFS(Roadmap!$C$3:$C$165,A19,Roadmap!$D$3:$D$165,"&gt;0")</f>
        <v>3</v>
      </c>
      <c r="D19" s="18">
        <f t="shared" si="1"/>
        <v>0</v>
      </c>
    </row>
    <row r="20">
      <c r="A20" s="16" t="s">
        <v>65</v>
      </c>
      <c r="B20" s="17">
        <f>COUNTIFS(Roadmap!$C$3:$C$165,A20,Roadmap!$A$3:$A$165,"☑",Roadmap!$D$3:$D$165,"&gt;0")</f>
        <v>0</v>
      </c>
      <c r="C20" s="17">
        <f>COUNTIFS(Roadmap!$C$3:$C$165,A20,Roadmap!$D$3:$D$165,"&gt;0")</f>
        <v>16</v>
      </c>
      <c r="D20" s="18">
        <f t="shared" si="1"/>
        <v>0</v>
      </c>
    </row>
    <row r="21" ht="15.75" customHeight="1">
      <c r="A21" s="16" t="s">
        <v>66</v>
      </c>
      <c r="B21" s="17">
        <f>COUNTIFS(Roadmap!$C$3:$C$165,A21,Roadmap!$A$3:$A$165,"☑",Roadmap!$D$3:$D$165,"&gt;0")</f>
        <v>0</v>
      </c>
      <c r="C21" s="17">
        <f>COUNTIFS(Roadmap!$C$3:$C$165,A21,Roadmap!$D$3:$D$165,"&gt;0")</f>
        <v>12</v>
      </c>
      <c r="D21" s="18">
        <f t="shared" si="1"/>
        <v>0</v>
      </c>
    </row>
    <row r="22" ht="15.75" customHeight="1">
      <c r="A22" s="16" t="s">
        <v>69</v>
      </c>
      <c r="B22" s="17">
        <f>COUNTIFS(Roadmap!$C$3:$C$165,A22,Roadmap!$A$3:$A$165,"☑",Roadmap!$D$3:$D$165,"&gt;0")</f>
        <v>0</v>
      </c>
      <c r="C22" s="17">
        <f>COUNTIFS(Roadmap!$C$3:$C$165,A22,Roadmap!$D$3:$D$165,"&gt;0")</f>
        <v>11</v>
      </c>
      <c r="D22" s="18">
        <f t="shared" si="1"/>
        <v>0</v>
      </c>
    </row>
    <row r="23" ht="15.75" customHeight="1">
      <c r="A23" s="16" t="s">
        <v>72</v>
      </c>
      <c r="B23" s="17">
        <f>COUNTIFS(Roadmap!$C$3:$C$165,A23,Roadmap!$A$3:$A$165,"☑",Roadmap!$D$3:$D$165,"&gt;0")</f>
        <v>0</v>
      </c>
      <c r="C23" s="17">
        <f>COUNTIFS(Roadmap!$C$3:$C$165,A23,Roadmap!$D$3:$D$165,"&gt;0")</f>
        <v>8</v>
      </c>
      <c r="D23" s="18">
        <f t="shared" si="1"/>
        <v>0</v>
      </c>
    </row>
    <row r="24" ht="15.75" customHeight="1">
      <c r="A24" s="16" t="s">
        <v>75</v>
      </c>
      <c r="B24" s="17">
        <f>COUNTIFS(Roadmap!$C$3:$C$165,A24,Roadmap!$A$3:$A$165,"☑",Roadmap!$D$3:$D$165,"&gt;0")</f>
        <v>0</v>
      </c>
      <c r="C24" s="17">
        <f>COUNTIFS(Roadmap!$C$3:$C$165,A24,Roadmap!$D$3:$D$165,"&gt;0")</f>
        <v>4</v>
      </c>
      <c r="D24" s="18">
        <f t="shared" si="1"/>
        <v>0</v>
      </c>
    </row>
    <row r="25" ht="15.75" customHeight="1">
      <c r="A25" s="16" t="s">
        <v>78</v>
      </c>
      <c r="B25" s="17">
        <f>COUNTIFS(Roadmap!$C$3:$C$165,A25,Roadmap!$A$3:$A$165,"☑",Roadmap!$D$3:$D$165,"&gt;0")</f>
        <v>0</v>
      </c>
      <c r="C25" s="17">
        <f>COUNTIFS(Roadmap!$C$3:$C$165,A25,Roadmap!$D$3:$D$165,"&gt;0")</f>
        <v>8</v>
      </c>
      <c r="D25" s="18">
        <f t="shared" si="1"/>
        <v>0</v>
      </c>
    </row>
    <row r="26" ht="15.75" customHeight="1">
      <c r="A26" s="16" t="s">
        <v>81</v>
      </c>
      <c r="B26" s="17">
        <f>COUNTIFS(Roadmap!$C$3:$C$165,A26,Roadmap!$A$3:$A$165,"☑",Roadmap!$D$3:$D$165,"&gt;0")</f>
        <v>0</v>
      </c>
      <c r="C26" s="17">
        <f>COUNTIFS(Roadmap!$C$3:$C$165,A26,Roadmap!$D$3:$D$165,"&gt;0")</f>
        <v>7</v>
      </c>
      <c r="D26" s="18">
        <f t="shared" si="1"/>
        <v>0</v>
      </c>
    </row>
    <row r="27" ht="15.75" customHeight="1"/>
    <row r="28" ht="15.75" customHeight="1">
      <c r="A28" s="15" t="s">
        <v>7</v>
      </c>
      <c r="B28" s="15" t="s">
        <v>22</v>
      </c>
      <c r="C28" s="15" t="s">
        <v>23</v>
      </c>
      <c r="D28" s="15" t="s">
        <v>12</v>
      </c>
    </row>
    <row r="29" ht="15.75" customHeight="1">
      <c r="A29" s="16" t="s">
        <v>17</v>
      </c>
      <c r="B29" s="17">
        <f>COUNTIFS(Roadmap!$F$3:$F$165,A29,Roadmap!$A$3:$A$165,"☑")</f>
        <v>0</v>
      </c>
      <c r="C29" s="17">
        <f>COUNTIF(Roadmap!$F$3:$F$165,A29)</f>
        <v>29</v>
      </c>
      <c r="D29" s="18">
        <f t="shared" ref="D29:D31" si="2">IF(C29=0,0,B29/C29)</f>
        <v>0</v>
      </c>
    </row>
    <row r="30" ht="15.75" customHeight="1">
      <c r="A30" s="16" t="s">
        <v>20</v>
      </c>
      <c r="B30" s="17">
        <f>COUNTIFS(Roadmap!$F$3:$F$165,A30,Roadmap!$A$3:$A$165,"☑")</f>
        <v>0</v>
      </c>
      <c r="C30" s="17">
        <f>COUNTIF(Roadmap!$F$3:$F$165,A30)</f>
        <v>101</v>
      </c>
      <c r="D30" s="18">
        <f t="shared" si="2"/>
        <v>0</v>
      </c>
    </row>
    <row r="31" ht="15.75" customHeight="1">
      <c r="A31" s="16" t="s">
        <v>60</v>
      </c>
      <c r="B31" s="17">
        <f>COUNTIFS(Roadmap!$F$3:$F$165,A31,Roadmap!$A$3:$A$165,"☑")</f>
        <v>0</v>
      </c>
      <c r="C31" s="17">
        <f>COUNTIF(Roadmap!$F$3:$F$165,A31)</f>
        <v>20</v>
      </c>
      <c r="D31" s="18">
        <f t="shared" si="2"/>
        <v>0</v>
      </c>
    </row>
    <row r="32" ht="15.75" customHeight="1"/>
    <row r="33" ht="15.75" customHeight="1">
      <c r="A33" s="23" t="s">
        <v>93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2026-09-28T08:08:15Z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